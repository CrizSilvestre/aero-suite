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3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4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_operaciones\Carpeta de Supervisores\Asignaciones AIPC\2026\Plantilla\"/>
    </mc:Choice>
  </mc:AlternateContent>
  <xr:revisionPtr revIDLastSave="0" documentId="13_ncr:81_{FA560A1E-2356-4B0B-83C1-B10117CE2886}" xr6:coauthVersionLast="47" xr6:coauthVersionMax="47" xr10:uidLastSave="{00000000-0000-0000-0000-000000000000}"/>
  <bookViews>
    <workbookView xWindow="-28920" yWindow="-120" windowWidth="29040" windowHeight="15720" tabRatio="574" xr2:uid="{00000000-000D-0000-FFFF-FFFF00000000}"/>
  </bookViews>
  <sheets>
    <sheet name="Fecha" sheetId="1" r:id="rId1"/>
    <sheet name="Sheet1" sheetId="3" state="hidden" r:id="rId2"/>
    <sheet name="Sheet2" sheetId="2" state="hidden" r:id="rId3"/>
  </sheets>
  <definedNames>
    <definedName name="_xlnm._FilterDatabase" localSheetId="0" hidden="1">Fecha!$A$2:$O$106</definedName>
    <definedName name="_xlnm.Print_Area" localSheetId="0">Fecha!$A$1:$O$106</definedName>
    <definedName name="Z_009C53F5_BB1E_48E8_87D7_1F9FAB5892ED_.wvu.FilterData" localSheetId="0" hidden="1">Fecha!$A$2:$O$106</definedName>
    <definedName name="Z_013AAAF9_9251_4D48_A0B6_F78FDE7AB502_.wvu.FilterData" localSheetId="0" hidden="1">Fecha!$A$2:$O$102</definedName>
    <definedName name="Z_01AAACBB_1FF2_4DAB_8780_6E47D92C77B5_.wvu.FilterData" localSheetId="0" hidden="1">Fecha!$A$2:$O$106</definedName>
    <definedName name="Z_01D22C6F_077D_43B8_BAFA_F9C2BACA17ED_.wvu.FilterData" localSheetId="0" hidden="1">Fecha!$A$2:$O$106</definedName>
    <definedName name="Z_03086586_7824_4E09_8736_A995ACDF847C_.wvu.FilterData" localSheetId="0" hidden="1">Fecha!$A$2:$O$102</definedName>
    <definedName name="Z_03086586_7824_4E09_8736_A995ACDF847C_.wvu.PrintArea" localSheetId="0" hidden="1">Fecha!$A$1:$O$102</definedName>
    <definedName name="Z_039163FB_6061_4332_A4E8_CC9F2C20767B_.wvu.FilterData" localSheetId="0" hidden="1">Fecha!$A$2:$O$102</definedName>
    <definedName name="Z_04592255_D183_460F_BF80_0C2A294B2864_.wvu.FilterData" localSheetId="0" hidden="1">Fecha!$A$2:$O$102</definedName>
    <definedName name="Z_0672A2E3_4F49_4B6A_B0E8_2D81AABB4BF1_.wvu.FilterData" localSheetId="0" hidden="1">Fecha!$A$2:$O$106</definedName>
    <definedName name="Z_07ADBEF4_2EAA_43FF_9E1B_576B6C6D0EE2_.wvu.FilterData" localSheetId="0" hidden="1">Fecha!$A$2:$O$102</definedName>
    <definedName name="Z_092728C4_63DC_4C98_B6C2_C13CD2585F28_.wvu.FilterData" localSheetId="0" hidden="1">Fecha!$A$2:$O$102</definedName>
    <definedName name="Z_09F78B58_B160_4493_AD8C_8AC9CFB960EE_.wvu.FilterData" localSheetId="0" hidden="1">Fecha!$A$2:$O$102</definedName>
    <definedName name="Z_0AC3AA54_0106_4A3F_A818_2A219FEAE227_.wvu.FilterData" localSheetId="0" hidden="1">Fecha!$A$2:$O$106</definedName>
    <definedName name="Z_0B00F9FE_457A_4763_9AC1_CFA1966B22A2_.wvu.Cols" localSheetId="0" hidden="1">Fecha!$J:$J</definedName>
    <definedName name="Z_0B00F9FE_457A_4763_9AC1_CFA1966B22A2_.wvu.FilterData" localSheetId="0" hidden="1">Fecha!$A$2:$O$106</definedName>
    <definedName name="Z_0B00F9FE_457A_4763_9AC1_CFA1966B22A2_.wvu.PrintArea" localSheetId="0" hidden="1">Fecha!$A$1:$O$102</definedName>
    <definedName name="Z_0B2AA3E0_A405_40DF_8B5B_C0A331A9D32E_.wvu.FilterData" localSheetId="0" hidden="1">Fecha!$A$2:$O$106</definedName>
    <definedName name="Z_0B509372_F65F_4662_A8C5_182E8739E56E_.wvu.Cols" localSheetId="0" hidden="1">Fecha!#REF!</definedName>
    <definedName name="Z_0B509372_F65F_4662_A8C5_182E8739E56E_.wvu.FilterData" localSheetId="0" hidden="1">Fecha!$A$2:$O$106</definedName>
    <definedName name="Z_0B509372_F65F_4662_A8C5_182E8739E56E_.wvu.PrintArea" localSheetId="0" hidden="1">Fecha!$A$1:$O$102</definedName>
    <definedName name="Z_0BEEA2D5_E752_4A5A_A822_57DFD8F22708_.wvu.FilterData" localSheetId="0" hidden="1">Fecha!$A$2:$O$102</definedName>
    <definedName name="Z_0C7B86EA_4DF8_4609_82FF_43D0F6E6185C_.wvu.FilterData" localSheetId="0" hidden="1">Fecha!$A$2:$O$106</definedName>
    <definedName name="Z_0C9165B8_04E4_44B5_B41F_25F24D098A10_.wvu.FilterData" localSheetId="0" hidden="1">Fecha!$A$2:$O$102</definedName>
    <definedName name="Z_0C9E6DAB_B305_4624_AD86_58156C8A4E0D_.wvu.FilterData" localSheetId="0" hidden="1">Fecha!$A$2:$O$106</definedName>
    <definedName name="Z_0D94595F_81E2_4300_87F7_E0867CD8A4B8_.wvu.FilterData" localSheetId="0" hidden="1">Fecha!$A$2:$O$102</definedName>
    <definedName name="Z_0F24E319_88EB_49AD_AEB0_BFDA1FA62EAC_.wvu.FilterData" localSheetId="0" hidden="1">Fecha!$A$2:$O$106</definedName>
    <definedName name="Z_10008C5C_A4D1_48FA_8FA6_39A95B03682D_.wvu.Cols" localSheetId="0" hidden="1">Fecha!$J:$J</definedName>
    <definedName name="Z_10008C5C_A4D1_48FA_8FA6_39A95B03682D_.wvu.FilterData" localSheetId="0" hidden="1">Fecha!$A$2:$O$102</definedName>
    <definedName name="Z_10008C5C_A4D1_48FA_8FA6_39A95B03682D_.wvu.PrintArea" localSheetId="0" hidden="1">Fecha!$A$1:$O$102</definedName>
    <definedName name="Z_113B3F6A_60CC_4490_8121_B41A7A11C105_.wvu.FilterData" localSheetId="0" hidden="1">Fecha!$A$2:$O$106</definedName>
    <definedName name="Z_11A700AD_874A_41F9_A594_09A019DBCD72_.wvu.FilterData" localSheetId="0" hidden="1">Fecha!$A$2:$O$102</definedName>
    <definedName name="Z_132A51A5_6C45_467D_BBBA_607255BFC3F6_.wvu.FilterData" localSheetId="0" hidden="1">Fecha!$A$2:$O$102</definedName>
    <definedName name="Z_13793E0D_B2AA_47B6_91D9_17792420631F_.wvu.FilterData" localSheetId="0" hidden="1">Fecha!$A$2:$O$106</definedName>
    <definedName name="Z_15FFC328_438F_4BF7_980D_BCB342A09BFD_.wvu.FilterData" localSheetId="0" hidden="1">Fecha!$A$2:$O$102</definedName>
    <definedName name="Z_17B55078_96F2_4776_91E7_0701C130239C_.wvu.FilterData" localSheetId="0" hidden="1">Fecha!$A$2:$O$106</definedName>
    <definedName name="Z_1836F095_7D3C_4A38_A437_A9610D7137ED_.wvu.FilterData" localSheetId="0" hidden="1">Fecha!$A$2:$O$106</definedName>
    <definedName name="Z_1883C7A0_64D7_455F_BC9A_3909DE3DB9F8_.wvu.Cols" localSheetId="0" hidden="1">Fecha!#REF!</definedName>
    <definedName name="Z_1883C7A0_64D7_455F_BC9A_3909DE3DB9F8_.wvu.FilterData" localSheetId="0" hidden="1">Fecha!$A$2:$O$106</definedName>
    <definedName name="Z_1AEEEC97_E119_4083_A60B_ED25026607EF_.wvu.FilterData" localSheetId="0" hidden="1">Fecha!$A$2:$O$106</definedName>
    <definedName name="Z_1B0C5301_A8AF_455D_A5BE_7222ADBB8FB4_.wvu.FilterData" localSheetId="0" hidden="1">Fecha!$A$2:$O$102</definedName>
    <definedName name="Z_1C0E9B68_E53B_4666_BEE9_801AE794CE48_.wvu.FilterData" localSheetId="0" hidden="1">Fecha!$A$2:$O$102</definedName>
    <definedName name="Z_1C0E9B68_E53B_4666_BEE9_801AE794CE48_.wvu.PrintArea" localSheetId="0" hidden="1">Fecha!$A$1:$O$102</definedName>
    <definedName name="Z_1C788AA2_DECC_43F3_9BB8_403CFDE9B0F9_.wvu.FilterData" localSheetId="0" hidden="1">Fecha!$A$2:$O$106</definedName>
    <definedName name="Z_1C80AB49_C1C9_4B47_A6C1_045128D1B411_.wvu.FilterData" localSheetId="0" hidden="1">Fecha!$A$2:$O$106</definedName>
    <definedName name="Z_1C80AB49_C1C9_4B47_A6C1_045128D1B411_.wvu.PrintArea" localSheetId="0" hidden="1">Fecha!$A$1:$O$106</definedName>
    <definedName name="Z_20AC43E0_7109_4AF7_AF1C_A0ACA56F53E6_.wvu.Cols" localSheetId="0" hidden="1">Fecha!#REF!</definedName>
    <definedName name="Z_20AC43E0_7109_4AF7_AF1C_A0ACA56F53E6_.wvu.FilterData" localSheetId="0" hidden="1">Fecha!$A$2:$O$106</definedName>
    <definedName name="Z_219F7D9A_8074_4382_B993_1797286EDC55_.wvu.FilterData" localSheetId="0" hidden="1">Fecha!$A$2:$O$106</definedName>
    <definedName name="Z_21F7DCCE_53DC_4AEF_9A7F_738AD8390482_.wvu.FilterData" localSheetId="0" hidden="1">Fecha!$A$2:$O$102</definedName>
    <definedName name="Z_22645D73_F33A_4848_8B7A_F7915054B3C9_.wvu.FilterData" localSheetId="0" hidden="1">Fecha!$A$2:$O$102</definedName>
    <definedName name="Z_243FC4D3_6710_4427_B81B_458ABB307FA8_.wvu.FilterData" localSheetId="0" hidden="1">Fecha!$A$2:$O$102</definedName>
    <definedName name="Z_24FDD27A_10A3_4ED6_AEBC_7457D56023F7_.wvu.FilterData" localSheetId="0" hidden="1">Fecha!$A$2:$O$102</definedName>
    <definedName name="Z_24FDD27A_10A3_4ED6_AEBC_7457D56023F7_.wvu.PrintArea" localSheetId="0" hidden="1">Fecha!$A$1:$O$106</definedName>
    <definedName name="Z_262B061F_8BF4_4C13_959B_9AF01090B162_.wvu.FilterData" localSheetId="0" hidden="1">Fecha!$A$2:$O$106</definedName>
    <definedName name="Z_27A40873_A434_42F5_BDC6_C50487AEEBDF_.wvu.FilterData" localSheetId="0" hidden="1">Fecha!$A$2:$O$106</definedName>
    <definedName name="Z_29B34E39_649B_416A_BC3B_F9490368C72E_.wvu.FilterData" localSheetId="0" hidden="1">Fecha!$A$2:$O$102</definedName>
    <definedName name="Z_29B34E39_649B_416A_BC3B_F9490368C72E_.wvu.PrintArea" localSheetId="0" hidden="1">Fecha!$A$1:$O$102</definedName>
    <definedName name="Z_2A7F22E9_2811_47ED_BD6C_C6B8B136CCCA_.wvu.FilterData" localSheetId="0" hidden="1">Fecha!$A$2:$O$102</definedName>
    <definedName name="Z_2B231804_3B9B_4E3F_BF64_CDD4D99F02E1_.wvu.FilterData" localSheetId="0" hidden="1">Fecha!$A$2:$O$107</definedName>
    <definedName name="Z_2C926DA5_F3E2_45B3_ABBA_768705894B24_.wvu.FilterData" localSheetId="0" hidden="1">Fecha!$A$2:$O$102</definedName>
    <definedName name="Z_2C926DA5_F3E2_45B3_ABBA_768705894B24_.wvu.PrintArea" localSheetId="0" hidden="1">Fecha!$A$1:$O$102</definedName>
    <definedName name="Z_2DE245DA_4AFA_4C1C_9357_08D59B4D5EF0_.wvu.FilterData" localSheetId="0" hidden="1">Fecha!$A$2:$O$102</definedName>
    <definedName name="Z_2DFC5A74_9126_4E47_8A33_7DDA70BEB139_.wvu.FilterData" localSheetId="0" hidden="1">Fecha!$A$2:$O$102</definedName>
    <definedName name="Z_2DFC5A74_9126_4E47_8A33_7DDA70BEB139_.wvu.PrintArea" localSheetId="0" hidden="1">Fecha!$A$1:$O$102</definedName>
    <definedName name="Z_2F212B4E_CF42_4356_BC22_BE6C6AF675B7_.wvu.FilterData" localSheetId="0" hidden="1">Fecha!$A$2:$O$102</definedName>
    <definedName name="Z_2FFD5BDA_EAB5_459A_B275_F5C7E8B7C7C4_.wvu.FilterData" localSheetId="0" hidden="1">Fecha!$A$2:$O$106</definedName>
    <definedName name="Z_318EBBA3_CCB2_4EA7_AEFE_6BD6EB8552C5_.wvu.FilterData" localSheetId="0" hidden="1">Fecha!$A$2:$O$102</definedName>
    <definedName name="Z_34ECDB04_504A_40C9_BD8C_6273375323C2_.wvu.FilterData" localSheetId="0" hidden="1">Fecha!$A$2:$O$102</definedName>
    <definedName name="Z_35BFA260_3403_41AF_A1BF_3BB041A71701_.wvu.FilterData" localSheetId="0" hidden="1">Fecha!$A$2:$O$106</definedName>
    <definedName name="Z_36BAE4F1_545D_451B_981E_D0F138A15196_.wvu.Cols" localSheetId="0" hidden="1">Fecha!$J:$J</definedName>
    <definedName name="Z_36BAE4F1_545D_451B_981E_D0F138A15196_.wvu.FilterData" localSheetId="0" hidden="1">Fecha!$A$2:$O$102</definedName>
    <definedName name="Z_36BAE4F1_545D_451B_981E_D0F138A15196_.wvu.PrintArea" localSheetId="0" hidden="1">Fecha!$A$1:$O$102</definedName>
    <definedName name="Z_37B7628F_8228_45D5_9D29_4EC64EB02F63_.wvu.FilterData" localSheetId="0" hidden="1">Fecha!$A$2:$O$102</definedName>
    <definedName name="Z_38A9B592_2A5B_4208_B1B8_32F04D3E058D_.wvu.FilterData" localSheetId="0" hidden="1">Fecha!$A$2:$O$106</definedName>
    <definedName name="Z_3989E237_CFE7_4ED0_AD68_AE8440856B67_.wvu.FilterData" localSheetId="0" hidden="1">Fecha!$A$2:$O$107</definedName>
    <definedName name="Z_3989E237_CFE7_4ED0_AD68_AE8440856B67_.wvu.PrintArea" localSheetId="0" hidden="1">Fecha!$A$1:$O$102</definedName>
    <definedName name="Z_3B765DD1_D927_44D3_BC34_5F229A94C109_.wvu.FilterData" localSheetId="0" hidden="1">Fecha!$A$2:$O$106</definedName>
    <definedName name="Z_3C38CA38_9501_4F73_81A9_FA973434614D_.wvu.FilterData" localSheetId="0" hidden="1">Fecha!$A$2:$O$102</definedName>
    <definedName name="Z_3FA81F90_EAC3_4AA7_B377_3A65BE32742A_.wvu.FilterData" localSheetId="0" hidden="1">Fecha!$A$2:$O$102</definedName>
    <definedName name="Z_3FA81F90_EAC3_4AA7_B377_3A65BE32742A_.wvu.PrintArea" localSheetId="0" hidden="1">Fecha!$A$1:$O$102</definedName>
    <definedName name="Z_3FE89B09_C032_4C59_B0EC_F26FF5E84AF7_.wvu.FilterData" localSheetId="0" hidden="1">Fecha!$A$2:$O$102</definedName>
    <definedName name="Z_40AD95B9_4950_4365_9849_FE31EFCBEC6E_.wvu.Cols" localSheetId="0" hidden="1">Fecha!#REF!</definedName>
    <definedName name="Z_40AD95B9_4950_4365_9849_FE31EFCBEC6E_.wvu.FilterData" localSheetId="0" hidden="1">Fecha!$A$2:$O$106</definedName>
    <definedName name="Z_445D750F_13C7_497D_97B8_3F23FE4561CE_.wvu.FilterData" localSheetId="0" hidden="1">Fecha!$A$2:$O$102</definedName>
    <definedName name="Z_4493A76E_7961_4308_870E_D2A385C2F72A_.wvu.FilterData" localSheetId="0" hidden="1">Fecha!$A$2:$O$106</definedName>
    <definedName name="Z_44F10846_E6BB_453A_9812_54C4A675B31B_.wvu.FilterData" localSheetId="0" hidden="1">Fecha!$A$2:$O$102</definedName>
    <definedName name="Z_45DE89A6_9715_48B1_98AE_DF380FBDDCE7_.wvu.FilterData" localSheetId="0" hidden="1">Fecha!$A$2:$O$102</definedName>
    <definedName name="Z_46E3707D_B7A2_48AE_89C7_0E04B35B8445_.wvu.FilterData" localSheetId="0" hidden="1">Fecha!$A$2:$O$102</definedName>
    <definedName name="Z_490A30BE_F622_4B98_AD99_2D1A1CD49BD0_.wvu.FilterData" localSheetId="0" hidden="1">Fecha!$A$2:$O$102</definedName>
    <definedName name="Z_4CD2B08C_5C58_4035_9242_9204E0850789_.wvu.FilterData" localSheetId="0" hidden="1">Fecha!$A$2:$O$102</definedName>
    <definedName name="Z_4EF81260_70F7_43F4_8813_784F6B6680F2_.wvu.FilterData" localSheetId="0" hidden="1">Fecha!$A$2:$O$106</definedName>
    <definedName name="Z_4F7C9BA1_AC9E_485F_9173_0B9B2BD56A21_.wvu.FilterData" localSheetId="0" hidden="1">Fecha!$A$2:$O$102</definedName>
    <definedName name="Z_539ABC6E_8759_485E_A049_21808072C334_.wvu.FilterData" localSheetId="0" hidden="1">Fecha!$A$2:$O$106</definedName>
    <definedName name="Z_555CDD58_D8EA_4DD9_91A4_79A93C9119F0_.wvu.FilterData" localSheetId="0" hidden="1">Fecha!$A$2:$O$106</definedName>
    <definedName name="Z_56BD04B7_3133_40C2_80B3_DFE9313B027D_.wvu.FilterData" localSheetId="0" hidden="1">Fecha!$A$2:$O$106</definedName>
    <definedName name="Z_57A4F0E9_9D83_4B6A_8617_78C4AF06DF3D_.wvu.FilterData" localSheetId="0" hidden="1">Fecha!$A$2:$O$102</definedName>
    <definedName name="Z_57BB98E2_45EF_4BA3_A51D_7D83ED750252_.wvu.FilterData" localSheetId="0" hidden="1">Fecha!$A$2:$O$102</definedName>
    <definedName name="Z_5D1179EA_0FC3_4332_9FCC_DEE37E0030D9_.wvu.FilterData" localSheetId="0" hidden="1">Fecha!$A$2:$O$106</definedName>
    <definedName name="Z_5E4276DF_1CA6_4299_BC0C_441C1EDFEF2E_.wvu.FilterData" localSheetId="0" hidden="1">Fecha!$A$2:$O$102</definedName>
    <definedName name="Z_5E450AB8_D6B9_42D3_8450_6BE57DBC677A_.wvu.FilterData" localSheetId="0" hidden="1">Fecha!$A$2:$O$106</definedName>
    <definedName name="Z_5E450AB8_D6B9_42D3_8450_6BE57DBC677A_.wvu.PrintArea" localSheetId="0" hidden="1">Fecha!$A$1:$O$102</definedName>
    <definedName name="Z_5FF2FE6C_7089_472A_BB1B_2774EAC625D2_.wvu.FilterData" localSheetId="0" hidden="1">Fecha!$A$2:$O$102</definedName>
    <definedName name="Z_64FB0E20_817E_4FC2_8BE9_6EAA2A1B6BBE_.wvu.FilterData" localSheetId="0" hidden="1">Fecha!$A$2:$O$106</definedName>
    <definedName name="Z_65A202DD_84D1_4F51_8B92_C1842C04119F_.wvu.FilterData" localSheetId="0" hidden="1">Fecha!$A$2:$O$102</definedName>
    <definedName name="Z_65A5F5C5_8C77_4917_967D_04D598A99227_.wvu.FilterData" localSheetId="0" hidden="1">Fecha!$A$2:$O$106</definedName>
    <definedName name="Z_67519A48_4C00_430C_99C2_DF0EDE34FF60_.wvu.FilterData" localSheetId="0" hidden="1">Fecha!$A$2:$O$102</definedName>
    <definedName name="Z_6774B844_F4B2_4FBE_8C5B_0CFE0754C352_.wvu.FilterData" localSheetId="0" hidden="1">Fecha!$A$2:$O$102</definedName>
    <definedName name="Z_681567F5_7C38_4712_BF0F_31608B846AE3_.wvu.FilterData" localSheetId="0" hidden="1">Fecha!$A$2:$O$102</definedName>
    <definedName name="Z_681567F5_7C38_4712_BF0F_31608B846AE3_.wvu.PrintArea" localSheetId="0" hidden="1">Fecha!$A$1:$O$102</definedName>
    <definedName name="Z_6894BF64_1CE5_493A_B861_74F86E7637A2_.wvu.FilterData" localSheetId="0" hidden="1">Fecha!$A$2:$O$107</definedName>
    <definedName name="Z_68A1B04D_6691_4305_8C21_5BAB0E437FB5_.wvu.FilterData" localSheetId="0" hidden="1">Fecha!$A$2:$O$102</definedName>
    <definedName name="Z_691D5AEA_B8FA_458A_A3AF_F3B9BEBB541D_.wvu.FilterData" localSheetId="0" hidden="1">Fecha!$A$2:$O$102</definedName>
    <definedName name="Z_6A078ED8_2D47_4230_9A27_7C8C952907EE_.wvu.FilterData" localSheetId="0" hidden="1">Fecha!$A$2:$O$106</definedName>
    <definedName name="Z_6B256E1A_E42E_4CF1_8600_344B50C79D8E_.wvu.FilterData" localSheetId="0" hidden="1">Fecha!$A$2:$O$102</definedName>
    <definedName name="Z_6B7B4F3D_9C4C_4D7B_B22C_D09B38D665A1_.wvu.FilterData" localSheetId="0" hidden="1">Fecha!$A$2:$O$102</definedName>
    <definedName name="Z_6C84B17C_AB6B_46BF_A0BC_0EE355305469_.wvu.FilterData" localSheetId="0" hidden="1">Fecha!$A$2:$O$106</definedName>
    <definedName name="Z_6D30AA06_A414_4D75_889E_8073DB437891_.wvu.FilterData" localSheetId="0" hidden="1">Fecha!$A$2:$O$102</definedName>
    <definedName name="Z_70A469F0_51AA_4C7D_AC3D_FCE1FA09966A_.wvu.FilterData" localSheetId="0" hidden="1">Fecha!$A$2:$O$106</definedName>
    <definedName name="Z_72D10AEA_9D5A_4A1F_AEDE_745E9DA616DD_.wvu.FilterData" localSheetId="0" hidden="1">Fecha!$A$2:$O$102</definedName>
    <definedName name="Z_72D10AEA_9D5A_4A1F_AEDE_745E9DA616DD_.wvu.PrintArea" localSheetId="0" hidden="1">Fecha!$A$1:$O$102</definedName>
    <definedName name="Z_755F9713_BC8E_4149_AFB8_5835584ECDB3_.wvu.FilterData" localSheetId="0" hidden="1">Fecha!$A$2:$O$102</definedName>
    <definedName name="Z_75EDC5CC_C441_4AF1_9B78_47CE2427C073_.wvu.FilterData" localSheetId="0" hidden="1">Fecha!$A$2:$O$102</definedName>
    <definedName name="Z_78B9A4D1_28BC_46B5_866B_6A34DBBE9D66_.wvu.FilterData" localSheetId="0" hidden="1">Fecha!$A$2:$O$102</definedName>
    <definedName name="Z_78F93E5E_3FB8_40C4_B063_E47BC50D8E9F_.wvu.FilterData" localSheetId="0" hidden="1">Fecha!$A$2:$O$102</definedName>
    <definedName name="Z_79D16F4C_2C09_4BA7_B06B_3B1B39D24638_.wvu.FilterData" localSheetId="0" hidden="1">Fecha!$A$2:$O$102</definedName>
    <definedName name="Z_79D89823_AFBF_4626_A9D0_C99BB0328F29_.wvu.FilterData" localSheetId="0" hidden="1">Fecha!$A$2:$O$102</definedName>
    <definedName name="Z_7A8E45E4_2154_406B_925A_DBA7E09198BD_.wvu.FilterData" localSheetId="0" hidden="1">Fecha!$A$2:$O$102</definedName>
    <definedName name="Z_7C53A1CD_71C2_45A4_8A33_C3EF6B1DFD13_.wvu.FilterData" localSheetId="0" hidden="1">Fecha!$A$2:$O$102</definedName>
    <definedName name="Z_7D3E8508_B7DC_4CBD_A9D4_35F364BC1D81_.wvu.FilterData" localSheetId="0" hidden="1">Fecha!$A$2:$O$102</definedName>
    <definedName name="Z_7D3E8508_B7DC_4CBD_A9D4_35F364BC1D81_.wvu.PrintArea" localSheetId="0" hidden="1">Fecha!$A$1:$O$102</definedName>
    <definedName name="Z_7EB6D739_622B_4E8A_AAE6_15E715020F82_.wvu.FilterData" localSheetId="0" hidden="1">Fecha!$A$2:$O$102</definedName>
    <definedName name="Z_7FAF8668_8C90_4467_9A43_07B229AD4315_.wvu.Cols" localSheetId="0" hidden="1">Fecha!#REF!</definedName>
    <definedName name="Z_7FAF8668_8C90_4467_9A43_07B229AD4315_.wvu.FilterData" localSheetId="0" hidden="1">Fecha!$A$2:$O$106</definedName>
    <definedName name="Z_7FAF8668_8C90_4467_9A43_07B229AD4315_.wvu.PrintArea" localSheetId="0" hidden="1">Fecha!$A$1:$O$106</definedName>
    <definedName name="Z_812D0594_6962_435E_B267_DA2A944BC703_.wvu.FilterData" localSheetId="0" hidden="1">Fecha!$A$2:$O$106</definedName>
    <definedName name="Z_83EFE7AF_8E77_4729_8F9D_EE80ECAAEC58_.wvu.FilterData" localSheetId="0" hidden="1">Fecha!$A$2:$O$106</definedName>
    <definedName name="Z_863EFDE5_55D2_414B_A52E_2EF404F1B4B3_.wvu.FilterData" localSheetId="0" hidden="1">Fecha!$A$2:$O$102</definedName>
    <definedName name="Z_86528949_47BE_43BC_9695_A192866F8F4E_.wvu.FilterData" localSheetId="0" hidden="1">Fecha!$A$2:$O$102</definedName>
    <definedName name="Z_87E835C7_1441_4C14_B42B_999BA3ED6539_.wvu.FilterData" localSheetId="0" hidden="1">Fecha!$A$2:$O$102</definedName>
    <definedName name="Z_8962107A_13E1_4F0F_9283_A3D855C16CFC_.wvu.FilterData" localSheetId="0" hidden="1">Fecha!$A$2:$O$106</definedName>
    <definedName name="Z_8975402D_5EC0_4CC7_8B32_35C573228885_.wvu.FilterData" localSheetId="0" hidden="1">Fecha!$A$2:$O$106</definedName>
    <definedName name="Z_89B7C967_9690_430F_9C66_EB6384A9A472_.wvu.FilterData" localSheetId="0" hidden="1">Fecha!$A$2:$O$106</definedName>
    <definedName name="Z_89D7AC28_591B_4F5A_9B97_F1B6C5CEC8DB_.wvu.FilterData" localSheetId="0" hidden="1">Fecha!$A$2:$O$102</definedName>
    <definedName name="Z_8A2565EA_362D_412C_94E3_5E53318C5965_.wvu.FilterData" localSheetId="0" hidden="1">Fecha!$A$2:$O$102</definedName>
    <definedName name="Z_8FA9D817_9FF8_425F_BE6C_68F554A06CCD_.wvu.FilterData" localSheetId="0" hidden="1">Fecha!$A$2:$O$102</definedName>
    <definedName name="Z_90709DCE_1CDA_480D_AF11_A2D2EE072AA4_.wvu.FilterData" localSheetId="0" hidden="1">Fecha!$A$2:$O$106</definedName>
    <definedName name="Z_92521ACF_584B_4D4F_9403_0E09847B8127_.wvu.FilterData" localSheetId="0" hidden="1">Fecha!$A$2:$O$106</definedName>
    <definedName name="Z_94142418_3156_49E8_B844_722E5EB1AB1D_.wvu.FilterData" localSheetId="0" hidden="1">Fecha!$A$2:$O$102</definedName>
    <definedName name="Z_94142418_3156_49E8_B844_722E5EB1AB1D_.wvu.PrintArea" localSheetId="0" hidden="1">Fecha!$A$1:$O$102</definedName>
    <definedName name="Z_951BBFE3_39E8_48A4_BCF7_87ADD6117BA3_.wvu.FilterData" localSheetId="0" hidden="1">Fecha!$A$2:$O$106</definedName>
    <definedName name="Z_95E57E58_8356_446E_9D54_EE5EBFD6747E_.wvu.Cols" localSheetId="0" hidden="1">Fecha!$J:$J</definedName>
    <definedName name="Z_95E57E58_8356_446E_9D54_EE5EBFD6747E_.wvu.FilterData" localSheetId="0" hidden="1">Fecha!$A$2:$O$106</definedName>
    <definedName name="Z_95E57E58_8356_446E_9D54_EE5EBFD6747E_.wvu.PrintArea" localSheetId="0" hidden="1">Fecha!$A$1:$O$106</definedName>
    <definedName name="Z_97ADD1D3_C5BE_40DB_A58E_035862FF6CC0_.wvu.FilterData" localSheetId="0" hidden="1">Fecha!$A$2:$O$102</definedName>
    <definedName name="Z_9DAA3478_E2E4_493C_A4E3_18836752C4BD_.wvu.FilterData" localSheetId="0" hidden="1">Fecha!$A$2:$O$102</definedName>
    <definedName name="Z_9FB4AA8D_3525_49C3_8875_00C376AFFF22_.wvu.FilterData" localSheetId="0" hidden="1">Fecha!$A$2:$O$102</definedName>
    <definedName name="Z_A00AF441_9A62_4791_B5DB_F4B50DAC5E95_.wvu.FilterData" localSheetId="0" hidden="1">Fecha!$A$2:$O$102</definedName>
    <definedName name="Z_A00AF441_9A62_4791_B5DB_F4B50DAC5E95_.wvu.PrintArea" localSheetId="0" hidden="1">Fecha!$A$1:$O$102</definedName>
    <definedName name="Z_A02CC661_7147_4A83_BB30_AF86CFD04A40_.wvu.FilterData" localSheetId="0" hidden="1">Fecha!$A$2:$O$102</definedName>
    <definedName name="Z_A09E13B9_AF93_400E_95C5_C3CAAD2090DB_.wvu.FilterData" localSheetId="0" hidden="1">Fecha!$A$2:$O$102</definedName>
    <definedName name="Z_A0C6FF70_841C_41D1_A89A_4069DEE7750D_.wvu.FilterData" localSheetId="0" hidden="1">Fecha!$A$2:$O$102</definedName>
    <definedName name="Z_A2C6AF85_FD4B_49AF_9989_66EC6CFEB144_.wvu.FilterData" localSheetId="0" hidden="1">Fecha!$A$2:$O$106</definedName>
    <definedName name="Z_A40B55DA_3989_4C50_8FB7_EBF8DD254630_.wvu.FilterData" localSheetId="0" hidden="1">Fecha!$A$2:$O$102</definedName>
    <definedName name="Z_A6E4CAE1_83D3_47AA_B934_58A363CE849D_.wvu.FilterData" localSheetId="0" hidden="1">Fecha!$A$2:$O$106</definedName>
    <definedName name="Z_A866C1B7_78F3_4067_89B2_330E0D53500A_.wvu.Cols" localSheetId="0" hidden="1">Fecha!$J:$J</definedName>
    <definedName name="Z_A866C1B7_78F3_4067_89B2_330E0D53500A_.wvu.FilterData" localSheetId="0" hidden="1">Fecha!$A$2:$O$106</definedName>
    <definedName name="Z_A866C1B7_78F3_4067_89B2_330E0D53500A_.wvu.PrintArea" localSheetId="0" hidden="1">Fecha!$A$1:$O$106</definedName>
    <definedName name="Z_A920C77D_7F54_488F_9D03_7F4525345E95_.wvu.Cols" localSheetId="0" hidden="1">Fecha!#REF!</definedName>
    <definedName name="Z_A920C77D_7F54_488F_9D03_7F4525345E95_.wvu.FilterData" localSheetId="0" hidden="1">Fecha!$A$2:$O$106</definedName>
    <definedName name="Z_A920C77D_7F54_488F_9D03_7F4525345E95_.wvu.PrintArea" localSheetId="0" hidden="1">Fecha!$A$1:$O$102</definedName>
    <definedName name="Z_AB2BB98F_85C3_4261_B52A_E2871D14CFFC_.wvu.FilterData" localSheetId="0" hidden="1">Fecha!$A$2:$O$106</definedName>
    <definedName name="Z_AC52F8A8_24C3_4F0E_A08C_EBB5B5B46AFE_.wvu.FilterData" localSheetId="0" hidden="1">Fecha!$A$2:$O$106</definedName>
    <definedName name="Z_AC52F8A8_24C3_4F0E_A08C_EBB5B5B46AFE_.wvu.PrintArea" localSheetId="0" hidden="1">Fecha!$A$1:$O$102</definedName>
    <definedName name="Z_AE17FB63_DD83_43CE_959F_7612EF5F4AC8_.wvu.FilterData" localSheetId="0" hidden="1">Fecha!$A$2:$O$107</definedName>
    <definedName name="Z_AE386AF6_4976_4171_B46B_662DF4E13853_.wvu.FilterData" localSheetId="0" hidden="1">Fecha!$A$2:$O$102</definedName>
    <definedName name="Z_AE4E6A13_5D76_46FB_95AA_AFF619D19867_.wvu.FilterData" localSheetId="0" hidden="1">Fecha!$A$2:$O$107</definedName>
    <definedName name="Z_AEBE36F6_7D74_4E33_9A8D_ECABC935B03B_.wvu.FilterData" localSheetId="0" hidden="1">Fecha!$A$2:$O$102</definedName>
    <definedName name="Z_B08B09D8_897F_4FEA_9ADF_9809C84CF963_.wvu.FilterData" localSheetId="0" hidden="1">Fecha!$A$2:$O$102</definedName>
    <definedName name="Z_B08B09D8_897F_4FEA_9ADF_9809C84CF963_.wvu.PrintArea" localSheetId="0" hidden="1">Fecha!$A$1:$O$102</definedName>
    <definedName name="Z_B23C6C60_3138_4B61_A8A8_47F5982D7283_.wvu.FilterData" localSheetId="0" hidden="1">Fecha!$A$2:$O$102</definedName>
    <definedName name="Z_B23C6C60_3138_4B61_A8A8_47F5982D7283_.wvu.PrintArea" localSheetId="0" hidden="1">Fecha!$A$1:$O$102</definedName>
    <definedName name="Z_B2F1B696_1AAD_462A_B901_7A0ABFF3C1DA_.wvu.FilterData" localSheetId="0" hidden="1">Fecha!$A$2:$O$106</definedName>
    <definedName name="Z_B42C02EE_BC2F_49D4_90E2_7735CA7A1D54_.wvu.FilterData" localSheetId="0" hidden="1">Fecha!$A$2:$O$102</definedName>
    <definedName name="Z_B7830AB3_7F9A_47F9_B435_750C5377CC55_.wvu.FilterData" localSheetId="0" hidden="1">Fecha!$A$2:$O$102</definedName>
    <definedName name="Z_B9184FBC_7B7E_43E7_A554_78960E9ED3B1_.wvu.FilterData" localSheetId="0" hidden="1">Fecha!$A$2:$O$102</definedName>
    <definedName name="Z_B96EAA3A_AFF6_4AC2_8BD4_188C298CDEFA_.wvu.FilterData" localSheetId="0" hidden="1">Fecha!$A$2:$O$102</definedName>
    <definedName name="Z_BACFA883_2AAF_400F_B84F_DA950BB62A44_.wvu.FilterData" localSheetId="0" hidden="1">Fecha!$A$2:$O$102</definedName>
    <definedName name="Z_BAD0D81A_7557_403A_8199_127D115E540F_.wvu.FilterData" localSheetId="0" hidden="1">Fecha!$A$2:$O$102</definedName>
    <definedName name="Z_BAEF91AD_6D11_4EF2_8B82_FD03FA44AE99_.wvu.FilterData" localSheetId="0" hidden="1">Fecha!$A$2:$O$106</definedName>
    <definedName name="Z_BB92B2D4_AF72_44C0_B45D_F6AD561334E1_.wvu.FilterData" localSheetId="0" hidden="1">Fecha!$A$2:$O$102</definedName>
    <definedName name="Z_C13660BC_39F5_4B11_AA34_72FBE153DE3E_.wvu.FilterData" localSheetId="0" hidden="1">Fecha!$A$2:$O$102</definedName>
    <definedName name="Z_C1F9436A_C536_4A56_836E_9CA73206C0D7_.wvu.FilterData" localSheetId="0" hidden="1">Fecha!$A$2:$O$106</definedName>
    <definedName name="Z_C1F9436A_C536_4A56_836E_9CA73206C0D7_.wvu.PrintArea" localSheetId="0" hidden="1">Fecha!$A$1:$O$106</definedName>
    <definedName name="Z_C1FB28F1_D4BC_4006_BE08_65E05B4784D6_.wvu.FilterData" localSheetId="0" hidden="1">Fecha!$A$2:$O$102</definedName>
    <definedName name="Z_C209A30B_8F19_4F79_8C70_6978F4FE749D_.wvu.FilterData" localSheetId="0" hidden="1">Fecha!$A$2:$O$106</definedName>
    <definedName name="Z_C2719B01_A4CE_4BC8_82CA_DC1C1E656927_.wvu.FilterData" localSheetId="0" hidden="1">Fecha!$A$2:$O$102</definedName>
    <definedName name="Z_C33E9CB2_491C_4F47_BD4E_9CC5C3A0321C_.wvu.FilterData" localSheetId="0" hidden="1">Fecha!$A$2:$O$102</definedName>
    <definedName name="Z_C38EA512_44D6_404C_8BEB_F4A9B9DC74BA_.wvu.FilterData" localSheetId="0" hidden="1">Fecha!$A$2:$O$102</definedName>
    <definedName name="Z_C5FE1652_4F56_4A96_B678_066378C38160_.wvu.FilterData" localSheetId="0" hidden="1">Fecha!$A$2:$O$106</definedName>
    <definedName name="Z_C7692449_69F5_43DB_BAB4_159493CEE9A4_.wvu.FilterData" localSheetId="0" hidden="1">Fecha!$A$2:$O$102</definedName>
    <definedName name="Z_C7D507BD_E174_46CD_B8C0_3F2A3740630F_.wvu.FilterData" localSheetId="0" hidden="1">Fecha!$A$2:$O$106</definedName>
    <definedName name="Z_C9EA82F2_769C_48CA_A0EF_DAE757BF7B6C_.wvu.FilterData" localSheetId="0" hidden="1">Fecha!$A$2:$O$102</definedName>
    <definedName name="Z_CB171A4C_83F2_4CC0_8F84_5C9A6EA23918_.wvu.FilterData" localSheetId="0" hidden="1">Fecha!$A$2:$O$102</definedName>
    <definedName name="Z_CB26C1B7_ACE1_4D0A_8093_67D28491D27F_.wvu.PrintArea" localSheetId="0" hidden="1">Fecha!$A$1:$O$102</definedName>
    <definedName name="Z_CB419089_0BDC_4A8F_9733_81EAC5117E2C_.wvu.FilterData" localSheetId="0" hidden="1">Fecha!$A$2:$O$102</definedName>
    <definedName name="Z_CF601A6F_DC36_4D52_ABAD_EA4486CDA16B_.wvu.FilterData" localSheetId="0" hidden="1">Fecha!$A$2:$O$106</definedName>
    <definedName name="Z_D480CDC4_F9DD_422C_8568_D6BD2B850612_.wvu.FilterData" localSheetId="0" hidden="1">Fecha!$A$2:$O$102</definedName>
    <definedName name="Z_D480CDC4_F9DD_422C_8568_D6BD2B850612_.wvu.PrintArea" localSheetId="0" hidden="1">Fecha!$A$1:$O$102</definedName>
    <definedName name="Z_D636AC7F_DB5A_42C3_BA3E_D09B1C5FCCE9_.wvu.FilterData" localSheetId="0" hidden="1">Fecha!$A$2:$O$106</definedName>
    <definedName name="Z_D69118B5_6933_4C71_A01C_BBB40E759951_.wvu.FilterData" localSheetId="0" hidden="1">Fecha!$A$2:$O$102</definedName>
    <definedName name="Z_D695EF17_939E_4CEE_89DF_9AC04421B9CD_.wvu.FilterData" localSheetId="0" hidden="1">Fecha!$A$2:$O$102</definedName>
    <definedName name="Z_D77C2F53_E72C_4EF8_A319_29BB0F23A0B8_.wvu.FilterData" localSheetId="0" hidden="1">Fecha!$A$2:$O$106</definedName>
    <definedName name="Z_DA8E3833_2EDE_4263_8819_DF17F4F317EA_.wvu.FilterData" localSheetId="0" hidden="1">Fecha!$A$2:$O$102</definedName>
    <definedName name="Z_DB241527_B80C_4356_AD22_D6F1990875E0_.wvu.FilterData" localSheetId="0" hidden="1">Fecha!$A$2:$O$102</definedName>
    <definedName name="Z_DF0BD0D5_847D_4E3A_9B81_189194BEE4FA_.wvu.FilterData" localSheetId="0" hidden="1">Fecha!$A$2:$O$106</definedName>
    <definedName name="Z_DF3FACAB_0404_47DD_A02C_F45F00537948_.wvu.FilterData" localSheetId="0" hidden="1">Fecha!$A$2:$O$106</definedName>
    <definedName name="Z_DFE4709F_A2E7_47C8_B03E_7B313722AB9D_.wvu.FilterData" localSheetId="0" hidden="1">Fecha!$A$2:$O$106</definedName>
    <definedName name="Z_DFE4709F_A2E7_47C8_B03E_7B313722AB9D_.wvu.PrintArea" localSheetId="0" hidden="1">Fecha!$A$1:$O$102</definedName>
    <definedName name="Z_E0EF6113_42E9_4F80_AED7_D8719126B286_.wvu.FilterData" localSheetId="0" hidden="1">Fecha!$A$2:$O$106</definedName>
    <definedName name="Z_E2D0752D_966A_4A50_97E1_ECFC0F1A2F87_.wvu.FilterData" localSheetId="0" hidden="1">Fecha!$A$2:$O$106</definedName>
    <definedName name="Z_E42752B0_3245_40CD_AE55_73B6049C635C_.wvu.FilterData" localSheetId="0" hidden="1">Fecha!$A$2:$O$102</definedName>
    <definedName name="Z_E4766A83_9A65_4CBA_BCE6_35CB18AF301D_.wvu.FilterData" localSheetId="0" hidden="1">Fecha!$A$2:$O$102</definedName>
    <definedName name="Z_E672D094_C3D5_49A7_A026_C095B844EB4F_.wvu.FilterData" localSheetId="0" hidden="1">Fecha!$A$2:$O$102</definedName>
    <definedName name="Z_E674E02E_C16E_40DF_A0B9_411F9E36BA5B_.wvu.FilterData" localSheetId="0" hidden="1">Fecha!$A$2:$O$106</definedName>
    <definedName name="Z_E6EF3995_CF61_480D_883A_9180FA4DA40D_.wvu.FilterData" localSheetId="0" hidden="1">Fecha!$A$2:$O$102</definedName>
    <definedName name="Z_E6FDD3FA_EDEB_4F50_A9EA_2428257F3F65_.wvu.FilterData" localSheetId="0" hidden="1">Fecha!$A$2:$O$102</definedName>
    <definedName name="Z_E8DEC859_2E0A_41F0_AEFE_3533977A4E3E_.wvu.Cols" localSheetId="0" hidden="1">Fecha!$H:$H,Fecha!#REF!</definedName>
    <definedName name="Z_E8DEC859_2E0A_41F0_AEFE_3533977A4E3E_.wvu.FilterData" localSheetId="0" hidden="1">Fecha!$A$2:$O$102</definedName>
    <definedName name="Z_E8DEC859_2E0A_41F0_AEFE_3533977A4E3E_.wvu.PrintArea" localSheetId="0" hidden="1">Fecha!$A$1:$O$102</definedName>
    <definedName name="Z_E94D3D91_8CF6_4EC3_A295_3584C6409ADB_.wvu.FilterData" localSheetId="0" hidden="1">Fecha!$A$2:$O$102</definedName>
    <definedName name="Z_EC53F027_6470_4820_977A_D65AF3C6E199_.wvu.FilterData" localSheetId="0" hidden="1">Fecha!$A$2:$O$102</definedName>
    <definedName name="Z_EDD0BA36_85BF_4331_AFD5_3CBE2F9EB314_.wvu.FilterData" localSheetId="0" hidden="1">Fecha!$A$2:$O$102</definedName>
    <definedName name="Z_EE1AD1EE_BADF_4AEB_884E_359A19086136_.wvu.FilterData" localSheetId="0" hidden="1">Fecha!$A$2:$O$102</definedName>
    <definedName name="Z_F0780936_2C08_4ECB_B26B_A7BD057E2DA0_.wvu.FilterData" localSheetId="0" hidden="1">Fecha!$A$2:$O$102</definedName>
    <definedName name="Z_F0B8FFC6_20B0_45DE_9311_A6A9D98DE641_.wvu.Cols" localSheetId="0" hidden="1">Fecha!$J:$J</definedName>
    <definedName name="Z_F0B8FFC6_20B0_45DE_9311_A6A9D98DE641_.wvu.FilterData" localSheetId="0" hidden="1">Fecha!$A$2:$O$102</definedName>
    <definedName name="Z_F0B8FFC6_20B0_45DE_9311_A6A9D98DE641_.wvu.PrintArea" localSheetId="0" hidden="1">Fecha!$A$1:$O$102</definedName>
    <definedName name="Z_F2D5E524_50F8_4379_A5A3_4CF04A248C6F_.wvu.FilterData" localSheetId="0" hidden="1">Fecha!$A$2:$O$102</definedName>
    <definedName name="Z_F2D5E524_50F8_4379_A5A3_4CF04A248C6F_.wvu.PrintArea" localSheetId="0" hidden="1">Fecha!$A$1:$O$102</definedName>
    <definedName name="Z_F5EEDF44_437A_4766_BB18_01CB1DFC997F_.wvu.FilterData" localSheetId="0" hidden="1">Fecha!$A$2:$O$106</definedName>
    <definedName name="Z_F6AB9810_75DD_4419_9DEB_22D45E1864D3_.wvu.FilterData" localSheetId="0" hidden="1">Fecha!$A$2:$O$106</definedName>
    <definedName name="Z_F78B70CA_6E07_4D91_A179_D04739CA0CF4_.wvu.FilterData" localSheetId="0" hidden="1">Fecha!$A$2:$O$102</definedName>
    <definedName name="Z_F82A1CDD_201D_4567_A558_C5A3A06C8853_.wvu.FilterData" localSheetId="0" hidden="1">Fecha!$A$2:$O$106</definedName>
    <definedName name="Z_F963679D_3674_472B_9935_95B2AB2C7A55_.wvu.FilterData" localSheetId="0" hidden="1">Fecha!$A$2:$O$102</definedName>
    <definedName name="Z_FA56863A_4051_4578_AF28_08DCC59DE096_.wvu.FilterData" localSheetId="0" hidden="1">Fecha!$A$2:$O$106</definedName>
    <definedName name="Z_FA56863A_4051_4578_AF28_08DCC59DE096_.wvu.PrintArea" localSheetId="0" hidden="1">Fecha!$A$1:$O$106</definedName>
    <definedName name="Z_FAC1DA37_9AC9_4D61_AC04_8ADCA847F3EC_.wvu.FilterData" localSheetId="0" hidden="1">Fecha!$A$2:$O$102</definedName>
    <definedName name="Z_FCB7492C_D74D_4CA2_A34E_8493F17B665D_.wvu.FilterData" localSheetId="0" hidden="1">Fecha!$A$2:$O$102</definedName>
    <definedName name="Z_FE6BCC54_D17D_41B0_A690_A1BA973D2D65_.wvu.FilterData" localSheetId="0" hidden="1">Fecha!$A$2:$O$102</definedName>
    <definedName name="Z_FF15DDF3_23D4_4EF5_9223_8F713288A8B7_.wvu.FilterData" localSheetId="0" hidden="1">Fecha!$A$2:$O$102</definedName>
    <definedName name="Z_FFC97214_09A0_4A5E_8E6D_B6357A6DCB5E_.wvu.FilterData" localSheetId="0" hidden="1">Fecha!$A$2:$O$102</definedName>
    <definedName name="Z_FFD5D86C_1BC1_493B_AEC4_09429ED87B40_.wvu.FilterData" localSheetId="0" hidden="1">Fecha!$A$2:$O$102</definedName>
  </definedNames>
  <calcPr calcId="191029"/>
  <customWorkbookViews>
    <customWorkbookView name="Adrián Félix Hernández Escoboza - Personal View" guid="{FA56863A-4051-4578-AF28-08DCC59DE096}" mergeInterval="0" personalView="1" maximized="1" xWindow="-1928" yWindow="-8" windowWidth="1936" windowHeight="1048" tabRatio="574" activeSheetId="1"/>
    <customWorkbookView name="Luis Antonio Hernández Castillo - Personal View" guid="{2DFC5A74-9126-4E47-8A33-7DDA70BEB139}" mergeInterval="0" personalView="1" maximized="1" xWindow="-1928" yWindow="-8" windowWidth="1936" windowHeight="1048" tabRatio="574" activeSheetId="1"/>
    <customWorkbookView name="Annely Rodriguez Osoria - Personal View" guid="{24FDD27A-10A3-4ED6-AEBC-7457D56023F7}" mergeInterval="0" personalView="1" maximized="1" xWindow="-8" yWindow="-8" windowWidth="1936" windowHeight="1048" tabRatio="574" activeSheetId="1"/>
    <customWorkbookView name="Javes Alexander De León Corniell - Personal View" guid="{2C926DA5-F3E2-45B3-ABBA-768705894B24}" mergeInterval="0" personalView="1" maximized="1" xWindow="-8" yWindow="-8" windowWidth="1936" windowHeight="1048" tabRatio="574" activeSheetId="1"/>
    <customWorkbookView name="Jhon Jairo Ramírez Terrero - Personal View" guid="{90709DCE-1CDA-480D-AF11-A2D2EE072AA4}" mergeInterval="0" personalView="1" maximized="1" xWindow="-1928" yWindow="-8" windowWidth="1936" windowHeight="1048" tabRatio="574" activeSheetId="1"/>
    <customWorkbookView name="Alinson Tejeda Rincon - Vista personalizada" guid="{DFE4709F-A2E7-47C8-B03E-7B313722AB9D}" mergeInterval="0" personalView="1" maximized="1" xWindow="-8" yWindow="-8" windowWidth="1936" windowHeight="1048" tabRatio="574" activeSheetId="1"/>
    <customWorkbookView name="José Paulino Pérez - Personal View" guid="{1C80AB49-C1C9-4B47-A6C1-045128D1B411}" mergeInterval="0" personalView="1" maximized="1" xWindow="-8" yWindow="-8" windowWidth="1936" windowHeight="1048" tabRatio="574" activeSheetId="1"/>
    <customWorkbookView name="Jazmin Esthel Marrero Ciprián - Personal View" guid="{AC52F8A8-24C3-4F0E-A08C-EBB5B5B46AFE}" mergeInterval="0" personalView="1" maximized="1" xWindow="-8" yWindow="-8" windowWidth="1936" windowHeight="1048" tabRatio="574" activeSheetId="1"/>
    <customWorkbookView name="Jefferson Payano Del Río - Personal View" guid="{20AC43E0-7109-4AF7-AF1C-A0ACA56F53E6}" mergeInterval="0" personalView="1" maximized="1" xWindow="-1928" yWindow="-8" windowWidth="1936" windowHeight="1048" tabRatio="574" activeSheetId="1"/>
    <customWorkbookView name="Berly Alfrandy Vargas Garcia - Personal View" guid="{1883C7A0-64D7-455F-BC9A-3909DE3DB9F8}" mergeInterval="0" personalView="1" xWindow="2082" yWindow="146" windowWidth="1440" windowHeight="753" tabRatio="574" activeSheetId="1"/>
    <customWorkbookView name="Juan Enmanuel Ortiz - Personal View" guid="{A920C77D-7F54-488F-9D03-7F4525345E95}" mergeInterval="0" personalView="1" maximized="1" xWindow="1912" yWindow="-8" windowWidth="1936" windowHeight="1048" tabRatio="574" activeSheetId="1"/>
    <customWorkbookView name="Adonis De León Quezada - Personal View" guid="{0B509372-F65F-4662-A8C5-182E8739E56E}" mergeInterval="0" personalView="1" maximized="1" xWindow="-8" yWindow="-8" windowWidth="1936" windowHeight="1048" tabRatio="574" activeSheetId="1"/>
    <customWorkbookView name="Mary Zaida Castillo Mercedes - Personal View" guid="{A866C1B7-78F3-4067-89B2-330E0D53500A}" mergeInterval="0" personalView="1" maximized="1" xWindow="-8" yWindow="-8" windowWidth="1936" windowHeight="1048" tabRatio="574" activeSheetId="1"/>
    <customWorkbookView name="Davi Arroyo - Vista personalizada" guid="{95E57E58-8356-446E-9D54-EE5EBFD6747E}" mergeInterval="0" personalView="1" maximized="1" xWindow="-8" yWindow="-8" windowWidth="1936" windowHeight="1048" tabRatio="574" activeSheetId="1"/>
    <customWorkbookView name="Víctor Ismael Cedano Mercedes - Personal View" guid="{3989E237-CFE7-4ED0-AD68-AE8440856B67}" mergeInterval="0" personalView="1" maximized="1" xWindow="-8" yWindow="-8" windowWidth="1936" windowHeight="1048" tabRatio="574" activeSheetId="1"/>
    <customWorkbookView name="Máximo Medina Amparo - Personal View" guid="{C1F9436A-C536-4A56-836E-9CA73206C0D7}" mergeInterval="0" personalView="1" maximized="1" xWindow="-8" yWindow="-8" windowWidth="1936" windowHeight="1048" tabRatio="574" activeSheetId="1"/>
    <customWorkbookView name="Criz M. Silvestre Sarmiento - Personal View" guid="{36BAE4F1-545D-451B-981E-D0F138A15196}" mergeInterval="0" personalView="1" maximized="1" xWindow="-8" yWindow="-8" windowWidth="1936" windowHeight="1048" tabRatio="574" activeSheetId="1"/>
    <customWorkbookView name="Alinson Tejeda Rincon - Personal View" guid="{10008C5C-A4D1-48FA-8FA6-39A95B03682D}" mergeInterval="0" personalView="1" maximized="1" xWindow="-1928" yWindow="-63" windowWidth="1936" windowHeight="1048" tabRatio="574" activeSheetId="1"/>
    <customWorkbookView name="Victor Ismael Cedano - Personal View" guid="{E8DEC859-2E0A-41F0-AEFE-3533977A4E3E}" mergeInterval="0" personalView="1" maximized="1" xWindow="-8" yWindow="-8" windowWidth="1936" windowHeight="1048" tabRatio="574" activeSheetId="1"/>
    <customWorkbookView name="Alexander Sabino Del Rosario - Personal View" guid="{1C0E9B68-E53B-4666-BEE9-801AE794CE48}" mergeInterval="0" personalView="1" maximized="1" xWindow="-8" yWindow="-8" windowWidth="1936" windowHeight="1048" tabRatio="574" activeSheetId="1"/>
    <customWorkbookView name="Albaniris Díaz García - Personal View" guid="{681567F5-7C38-4712-BF0F-31608B846AE3}" mergeInterval="0" personalView="1" maximized="1" xWindow="-8" yWindow="-8" windowWidth="1936" windowHeight="1048" tabRatio="574" activeSheetId="1"/>
    <customWorkbookView name="Darlenis Aza Herrera - Personal View" guid="{72D10AEA-9D5A-4A1F-AEDE-745E9DA616DD}" mergeInterval="0" personalView="1" maximized="1" xWindow="-8" yWindow="-8" windowWidth="1936" windowHeight="1048" tabRatio="574" activeSheetId="1"/>
    <customWorkbookView name="Yesmiluz Báez Ferreiras - Personal View" guid="{B08B09D8-897F-4FEA-9ADF-9809C84CF963}" mergeInterval="0" personalView="1" maximized="1" xWindow="-8" yWindow="-8" windowWidth="1936" windowHeight="1048" tabRatio="574" activeSheetId="1"/>
    <customWorkbookView name="Adolfo Elias  Rodriguez Barclay - Personal View" guid="{29B34E39-649B-416A-BC3B-F9490368C72E}" mergeInterval="0" personalView="1" maximized="1" xWindow="-8" yWindow="-8" windowWidth="1936" windowHeight="1048" tabRatio="574" activeSheetId="1"/>
    <customWorkbookView name="AWRIEL FIANDRELY VILORIO CED - Vista personalizada" guid="{03086586-7824-4E09-8736-A995ACDF847C}" mergeInterval="0" personalView="1" maximized="1" xWindow="-1928" yWindow="-8" windowWidth="1936" windowHeight="1048" tabRatio="574" activeSheetId="1"/>
    <customWorkbookView name="Yesmiluz Baez Ferreiras - Personal View" guid="{3FA81F90-EAC3-4AA7-B377-3A65BE32742A}" mergeInterval="0" personalView="1" maximized="1" xWindow="-1928" yWindow="31" windowWidth="1936" windowHeight="1048" tabRatio="574" activeSheetId="1"/>
    <customWorkbookView name="Rafael Antonio Tejeda Valdez - Personal View" guid="{B23C6C60-3138-4B61-A8A8-47F5982D7283}" mergeInterval="0" personalView="1" maximized="1" xWindow="-1928" yWindow="-8" windowWidth="1936" windowHeight="1048" tabRatio="574" activeSheetId="1"/>
    <customWorkbookView name="Lorenny Rijo Nunez - Personal View" guid="{CB26C1B7-ACE1-4D0A-8093-67D28491D27F}" mergeInterval="0" personalView="1" maximized="1" xWindow="-8" yWindow="-8" windowWidth="1936" windowHeight="1048" tabRatio="574" activeSheetId="1"/>
    <customWorkbookView name="Adolfo Elias  Rodriguez Barclay - Vista personalizada" guid="{94142418-3156-49E8-B844-722E5EB1AB1D}" mergeInterval="0" personalView="1" maximized="1" xWindow="-8" yWindow="-8" windowWidth="2576" windowHeight="1416" tabRatio="574" activeSheetId="1"/>
    <customWorkbookView name="John Byron Martinez Cedano - Personal View" guid="{F2D5E524-50F8-4379-A5A3-4CF04A248C6F}" mergeInterval="0" personalView="1" maximized="1" xWindow="-8" yWindow="-8" windowWidth="1936" windowHeight="1048" tabRatio="574" activeSheetId="1"/>
    <customWorkbookView name="Adolfo Elías Rodríguez Barclay - Personal View" guid="{7D3E8508-B7DC-4CBD-A9D4-35F364BC1D81}" mergeInterval="0" personalView="1" maximized="1" xWindow="-8" yWindow="-8" windowWidth="1936" windowHeight="1048" tabRatio="574" activeSheetId="1"/>
    <customWorkbookView name="Máximo Medina Amparo - Vista personalizada" guid="{F0B8FFC6-20B0-45DE-9311-A6A9D98DE641}" mergeInterval="0" personalView="1" maximized="1" xWindow="-8" yWindow="-8" windowWidth="1936" windowHeight="1048" tabRatio="574" activeSheetId="1"/>
    <customWorkbookView name="Dionicio Rafael Perdomo Morla - Personal View" guid="{D480CDC4-F9DD-422C-8568-D6BD2B850612}" mergeInterval="0" personalView="1" maximized="1" xWindow="-8" yWindow="-8" windowWidth="1936" windowHeight="1048" tabRatio="574" activeSheetId="1"/>
    <customWorkbookView name="Leandro Gonzalez Ruiz - Personal View" guid="{A00AF441-9A62-4791-B5DB-F4B50DAC5E95}" mergeInterval="0" personalView="1" maximized="1" xWindow="-8" yWindow="-8" windowWidth="1936" windowHeight="1048" tabRatio="574" activeSheetId="1"/>
    <customWorkbookView name="Davi Arroyo - Personal View" guid="{7FAF8668-8C90-4467-9A43-07B229AD4315}" mergeInterval="0" personalView="1" maximized="1" xWindow="1912" yWindow="-8" windowWidth="1936" windowHeight="1048" tabRatio="574" activeSheetId="1"/>
    <customWorkbookView name="Criz Mervin Silvestre Sarmiento - Personal View" guid="{0B00F9FE-457A-4763-9AC1-CFA1966B22A2}" mergeInterval="0" personalView="1" maximized="1" xWindow="-1928" yWindow="-8" windowWidth="1936" windowHeight="1048" tabRatio="574" activeSheetId="1"/>
    <customWorkbookView name="Leandro González  Ruíz - Personal View" guid="{40AD95B9-4950-4365-9849-FE31EFCBEC6E}" mergeInterval="0" personalView="1" maximized="1" xWindow="-8" yWindow="-8" windowWidth="1936" windowHeight="1048" tabRatio="574" activeSheetId="1"/>
    <customWorkbookView name="Nairobi Del Rosario - Personal View" guid="{5E450AB8-D6B9-42D3-8450-6BE57DBC677A}" mergeInterval="0" personalView="1" maximized="1" xWindow="-8" yWindow="-8" windowWidth="1936" windowHeight="1048" tabRatio="574" activeSheetId="1"/>
    <customWorkbookView name="AWRIEL FIANDRELY VILORIO CED - Personal View" guid="{45DE89A6-9715-48B1-98AE-DF380FBDDCE7}" mergeInterval="0" personalView="1" maximized="1" xWindow="-8" yWindow="-8" windowWidth="1936" windowHeight="1048" tabRatio="574" activeSheetId="1"/>
  </customWorkbookView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" i="1" l="1"/>
  <c r="I106" i="1"/>
  <c r="J106" i="1"/>
  <c r="K106" i="1"/>
</calcChain>
</file>

<file path=xl/sharedStrings.xml><?xml version="1.0" encoding="utf-8"?>
<sst xmlns="http://schemas.openxmlformats.org/spreadsheetml/2006/main" count="861" uniqueCount="270">
  <si>
    <t>STA</t>
  </si>
  <si>
    <t>STD</t>
  </si>
  <si>
    <t>HANDLER</t>
  </si>
  <si>
    <t>RUTA</t>
  </si>
  <si>
    <t>CORREA</t>
  </si>
  <si>
    <t>GATE</t>
  </si>
  <si>
    <t>PAX IN</t>
  </si>
  <si>
    <t>PAX OUT</t>
  </si>
  <si>
    <t>AEROLINEA</t>
  </si>
  <si>
    <t>VUELO No.</t>
  </si>
  <si>
    <t>A/C TYPE</t>
  </si>
  <si>
    <t>PAX TRANSITO</t>
  </si>
  <si>
    <t>STAND</t>
  </si>
  <si>
    <t>CK-IN TERM</t>
  </si>
  <si>
    <t>VUELO</t>
  </si>
  <si>
    <t>FECHA</t>
  </si>
  <si>
    <t>AMERICAN AIRLINES</t>
  </si>
  <si>
    <t>ARAJET</t>
  </si>
  <si>
    <t>COPA AIRLINES</t>
  </si>
  <si>
    <t>PTY-PUJ-PTY</t>
  </si>
  <si>
    <t xml:space="preserve">UNIWORLD AIR CARGO </t>
  </si>
  <si>
    <t>FRONTIER AIRLINES</t>
  </si>
  <si>
    <t>MCO-PUJ-MCO</t>
  </si>
  <si>
    <t>WESTJET AIRLINES</t>
  </si>
  <si>
    <t>JETBLUE AIRWAYS</t>
  </si>
  <si>
    <t>JBU 2895/2896</t>
  </si>
  <si>
    <t>BOS-PUJ-BOS</t>
  </si>
  <si>
    <t>SJU-PUJ-SJU</t>
  </si>
  <si>
    <t>FFT 239/7</t>
  </si>
  <si>
    <t>SJU-PUJ-STL</t>
  </si>
  <si>
    <t>CMP 177/178</t>
  </si>
  <si>
    <t>CLT-PUJ-CLT</t>
  </si>
  <si>
    <t>CMP 110/109</t>
  </si>
  <si>
    <t>PHL-PUJ-PHL</t>
  </si>
  <si>
    <t>AVIANCA</t>
  </si>
  <si>
    <t>AVA 128/129</t>
  </si>
  <si>
    <t>BOG-PUJ-BOG</t>
  </si>
  <si>
    <t>SKY AIRLINE PERÚ</t>
  </si>
  <si>
    <t>LIM-PUJ-LIM</t>
  </si>
  <si>
    <t>JBU 869/268</t>
  </si>
  <si>
    <t>JFK-PUJ-JFK</t>
  </si>
  <si>
    <t>JETSMART</t>
  </si>
  <si>
    <t>DELTA AIRLINES</t>
  </si>
  <si>
    <t>DAL 1760/1755</t>
  </si>
  <si>
    <t>ATL-PUJ-ATL</t>
  </si>
  <si>
    <t>CMP 425/426</t>
  </si>
  <si>
    <t>AVA 220/221</t>
  </si>
  <si>
    <t>MDE-PUJ-MDE</t>
  </si>
  <si>
    <t>SOUTHWEST AIRLINES</t>
  </si>
  <si>
    <t>UNITED AIRLINES</t>
  </si>
  <si>
    <t>UAL 1514/1698</t>
  </si>
  <si>
    <t>EWR-PUJ-DEN</t>
  </si>
  <si>
    <t>DAL 1994/1833</t>
  </si>
  <si>
    <t>UAL 1661/1664</t>
  </si>
  <si>
    <t>IAD-PUJ-ORD</t>
  </si>
  <si>
    <t>CMP 241/242</t>
  </si>
  <si>
    <t>WINGO</t>
  </si>
  <si>
    <t>MIA-PUJ-MIA</t>
  </si>
  <si>
    <t>EWR-PUJ-IAH</t>
  </si>
  <si>
    <t>DAL 1796/1919</t>
  </si>
  <si>
    <t>AIR TRANSAT</t>
  </si>
  <si>
    <t>TSC 186/187</t>
  </si>
  <si>
    <t>YYZ-PUJ-YYZ</t>
  </si>
  <si>
    <t>FLL-PUJ-FLL</t>
  </si>
  <si>
    <t>TSC 398/399</t>
  </si>
  <si>
    <t>YUL-PUJ-YUL</t>
  </si>
  <si>
    <t>AAL 2841/619</t>
  </si>
  <si>
    <t>ORD-PUJ-ORD</t>
  </si>
  <si>
    <t>AIR CANADA</t>
  </si>
  <si>
    <t>ACA 1790/1791</t>
  </si>
  <si>
    <t>CMP 375/376</t>
  </si>
  <si>
    <t>LAN PERU</t>
  </si>
  <si>
    <t>DAL 1916/1836</t>
  </si>
  <si>
    <t>TUI AIRWAYS</t>
  </si>
  <si>
    <t>ACA 1794/1795</t>
  </si>
  <si>
    <t>LPE 2452/2453</t>
  </si>
  <si>
    <t>STL-PUJ-SJU</t>
  </si>
  <si>
    <t>AEROMEXICO</t>
  </si>
  <si>
    <t>AMX 460/461</t>
  </si>
  <si>
    <t>MEX-PUJ-MEX</t>
  </si>
  <si>
    <t>FRA-PUJ-FRA</t>
  </si>
  <si>
    <t>CMP 748/749</t>
  </si>
  <si>
    <t>SCL-PUJ-MIA</t>
  </si>
  <si>
    <t>SKX 5580/5581</t>
  </si>
  <si>
    <t>AVA 252/253</t>
  </si>
  <si>
    <t>MAD-PUJ-MAD</t>
  </si>
  <si>
    <t>AVA 136/137</t>
  </si>
  <si>
    <t>CMP 352/351</t>
  </si>
  <si>
    <t>UAL 1699/1518</t>
  </si>
  <si>
    <t>DEN-PUJ-EWR</t>
  </si>
  <si>
    <t>LPE 2460/2461</t>
  </si>
  <si>
    <t>CONDOR</t>
  </si>
  <si>
    <t>CFG 2228/2229</t>
  </si>
  <si>
    <t>LPE 2450/2451</t>
  </si>
  <si>
    <t>FFT 241/240</t>
  </si>
  <si>
    <t>B738</t>
  </si>
  <si>
    <t>ENVOY</t>
  </si>
  <si>
    <t>B32</t>
  </si>
  <si>
    <t>B</t>
  </si>
  <si>
    <t>B38M</t>
  </si>
  <si>
    <t>A.A.G.</t>
  </si>
  <si>
    <t>B22</t>
  </si>
  <si>
    <t>B24</t>
  </si>
  <si>
    <t>B26A</t>
  </si>
  <si>
    <t>B20</t>
  </si>
  <si>
    <t>A330</t>
  </si>
  <si>
    <t>CARIPORTS</t>
  </si>
  <si>
    <t>B25</t>
  </si>
  <si>
    <t>B733</t>
  </si>
  <si>
    <t>CARIBE CARGO</t>
  </si>
  <si>
    <t>C1</t>
  </si>
  <si>
    <t>CARGA</t>
  </si>
  <si>
    <t>A321</t>
  </si>
  <si>
    <t>A</t>
  </si>
  <si>
    <t>SERVAIR</t>
  </si>
  <si>
    <t>P6</t>
  </si>
  <si>
    <t>JETBLUE</t>
  </si>
  <si>
    <t>P10</t>
  </si>
  <si>
    <t>A320</t>
  </si>
  <si>
    <t>P9</t>
  </si>
  <si>
    <t>A220</t>
  </si>
  <si>
    <t>P11</t>
  </si>
  <si>
    <t>P7</t>
  </si>
  <si>
    <t>B737</t>
  </si>
  <si>
    <t>B28</t>
  </si>
  <si>
    <t>B27</t>
  </si>
  <si>
    <t>B30</t>
  </si>
  <si>
    <t>P5</t>
  </si>
  <si>
    <t>P4</t>
  </si>
  <si>
    <t>B31</t>
  </si>
  <si>
    <t>P8A</t>
  </si>
  <si>
    <t>P3</t>
  </si>
  <si>
    <t>TRADING AVIATION</t>
  </si>
  <si>
    <t>E.T HEINSEN</t>
  </si>
  <si>
    <t>B39M</t>
  </si>
  <si>
    <t>UNITED</t>
  </si>
  <si>
    <t>B37</t>
  </si>
  <si>
    <t>26C</t>
  </si>
  <si>
    <t>A20N</t>
  </si>
  <si>
    <t>N5</t>
  </si>
  <si>
    <t>P2</t>
  </si>
  <si>
    <t>B787</t>
  </si>
  <si>
    <t>N4</t>
  </si>
  <si>
    <t>P11A</t>
  </si>
  <si>
    <t>N/A</t>
  </si>
  <si>
    <t>OVER</t>
  </si>
  <si>
    <t>JBU 1473/1474</t>
  </si>
  <si>
    <t>JBU 563/564</t>
  </si>
  <si>
    <t>TPA-PUJ-TPA</t>
  </si>
  <si>
    <t>FFT 66/67</t>
  </si>
  <si>
    <t>AAL 1280/980</t>
  </si>
  <si>
    <t>AAL 1485/1161</t>
  </si>
  <si>
    <t>JBU 989/1008</t>
  </si>
  <si>
    <t>AAL 2641/2641</t>
  </si>
  <si>
    <t>AAL 1270/1270</t>
  </si>
  <si>
    <t>JBU 169/168</t>
  </si>
  <si>
    <t>JBU 1809/1078</t>
  </si>
  <si>
    <t>JBU 1731/1632</t>
  </si>
  <si>
    <t>SWA 811/812</t>
  </si>
  <si>
    <t>BWI-PUJ-BWI</t>
  </si>
  <si>
    <t>WJA 2902/2903</t>
  </si>
  <si>
    <t>AAL 1179/1179</t>
  </si>
  <si>
    <t>AAL 2419/1245</t>
  </si>
  <si>
    <t>SWA 782/783</t>
  </si>
  <si>
    <t>JBU 1015/2374</t>
  </si>
  <si>
    <t>EWR-PUJ-FLL</t>
  </si>
  <si>
    <t>JBU 173/1016</t>
  </si>
  <si>
    <t>FLL-PUJ-EWR</t>
  </si>
  <si>
    <t>UAL 1270/1614</t>
  </si>
  <si>
    <t>ORD-PUJ-IAD</t>
  </si>
  <si>
    <t>WJA 2700/2701</t>
  </si>
  <si>
    <t>UAL 2122/1284</t>
  </si>
  <si>
    <t>SWA 821/822</t>
  </si>
  <si>
    <t>AAL 1070/845</t>
  </si>
  <si>
    <t>AAL 1292/1292</t>
  </si>
  <si>
    <t>JBU 2031/2132</t>
  </si>
  <si>
    <t>AAL 2517/2517</t>
  </si>
  <si>
    <t>FFT 6/38</t>
  </si>
  <si>
    <t>UAL 420/1526</t>
  </si>
  <si>
    <t>IAH-PUJ-EWR</t>
  </si>
  <si>
    <t>AAL 973/2790</t>
  </si>
  <si>
    <t>JBU 2077/2078</t>
  </si>
  <si>
    <t>AAL 503/1037</t>
  </si>
  <si>
    <t>DFW-PUJ-DFW</t>
  </si>
  <si>
    <t>JBU 2940/2941</t>
  </si>
  <si>
    <t>JBU 1595/1596</t>
  </si>
  <si>
    <t>AAL 2638/2638</t>
  </si>
  <si>
    <t>AIR EUROPA</t>
  </si>
  <si>
    <t>AEA 033/034</t>
  </si>
  <si>
    <t>N9</t>
  </si>
  <si>
    <t>B21</t>
  </si>
  <si>
    <t>B23B</t>
  </si>
  <si>
    <t>26F</t>
  </si>
  <si>
    <t>P29</t>
  </si>
  <si>
    <t>26D</t>
  </si>
  <si>
    <t>B23A</t>
  </si>
  <si>
    <t>P1A</t>
  </si>
  <si>
    <t>DWI 7003</t>
  </si>
  <si>
    <t>CMP 321/327</t>
  </si>
  <si>
    <t>DWI 6269/6206</t>
  </si>
  <si>
    <t>EZE-PUJ-EZE</t>
  </si>
  <si>
    <t>JBU 1869/1568</t>
  </si>
  <si>
    <t>BRITISH AIRWAYS</t>
  </si>
  <si>
    <t>BAW 2205/2204</t>
  </si>
  <si>
    <t>LGW-PUJ-LGW</t>
  </si>
  <si>
    <t>MIA-PUJ-EZE</t>
  </si>
  <si>
    <t>P8</t>
  </si>
  <si>
    <t>B777</t>
  </si>
  <si>
    <t>DWI 7101</t>
  </si>
  <si>
    <t>AEROLINEAS ARGENTINAS</t>
  </si>
  <si>
    <t>ARG 1324/1325</t>
  </si>
  <si>
    <t>DWI 7165/800</t>
  </si>
  <si>
    <t>NLU-PUJ-KIN</t>
  </si>
  <si>
    <t>UCG 253/194</t>
  </si>
  <si>
    <t>BOG-PUJ-CCS</t>
  </si>
  <si>
    <t>DWI 6771/1099</t>
  </si>
  <si>
    <t>LIM-PUJ-SDQ</t>
  </si>
  <si>
    <t>DWI 6087/6020</t>
  </si>
  <si>
    <t>GRU-PUJ-GRU</t>
  </si>
  <si>
    <t>BREEZE AIRWAYS</t>
  </si>
  <si>
    <t>MXY 380/381</t>
  </si>
  <si>
    <t>RDU-PUJ-RDU</t>
  </si>
  <si>
    <t>DWI 5863/6310</t>
  </si>
  <si>
    <t>YYZ-PUJ-MDZ</t>
  </si>
  <si>
    <t>DWI 6463/6200</t>
  </si>
  <si>
    <t>COR-PUJ-EZE</t>
  </si>
  <si>
    <t>JEC 5830/5835</t>
  </si>
  <si>
    <t>MDE-PUJ-CLO</t>
  </si>
  <si>
    <t>DWI 5975/1000</t>
  </si>
  <si>
    <t>YUL-PUJ-SJU</t>
  </si>
  <si>
    <t>DWI 6173/5102</t>
  </si>
  <si>
    <t>DWI 6261/7002</t>
  </si>
  <si>
    <t>EZE-PUJ-CUN</t>
  </si>
  <si>
    <t>DWI 801/7100</t>
  </si>
  <si>
    <t>KIN-PUJ-NLU</t>
  </si>
  <si>
    <t>RPB 7026/7027</t>
  </si>
  <si>
    <t>AIR CANADA CARGO</t>
  </si>
  <si>
    <t>ACAC 7264/7264</t>
  </si>
  <si>
    <t>YYZ-PUJ-BOG</t>
  </si>
  <si>
    <t>WJA 2916/2917</t>
  </si>
  <si>
    <t>WJA 2100/2101</t>
  </si>
  <si>
    <t>LPE 2470/2475</t>
  </si>
  <si>
    <t>FFT 25/24</t>
  </si>
  <si>
    <t>TOM 084/085</t>
  </si>
  <si>
    <t>AIR CARAIBES</t>
  </si>
  <si>
    <t>FWI 606/607</t>
  </si>
  <si>
    <t>ORY-PUJ-ORY</t>
  </si>
  <si>
    <t>TUI FLY NETHERLANDS</t>
  </si>
  <si>
    <t>TFL 757/757</t>
  </si>
  <si>
    <t>AMS-PUJ-CUR, AMS</t>
  </si>
  <si>
    <t>DWI 1001/1098</t>
  </si>
  <si>
    <t>SJU-PUJ-SDQ</t>
  </si>
  <si>
    <t>DWI 5103/6266</t>
  </si>
  <si>
    <t>B36</t>
  </si>
  <si>
    <t>26E</t>
  </si>
  <si>
    <t>B763</t>
  </si>
  <si>
    <t>CARIBE TRANS</t>
  </si>
  <si>
    <t>C2</t>
  </si>
  <si>
    <t>A359</t>
  </si>
  <si>
    <t>G.A.S</t>
  </si>
  <si>
    <t>DWI 6263</t>
  </si>
  <si>
    <t>DWI 0000</t>
  </si>
  <si>
    <t>PUJ-SDQ</t>
  </si>
  <si>
    <t>PUJ-EZE</t>
  </si>
  <si>
    <t>AMX 9704</t>
  </si>
  <si>
    <t>PUJ-NLU</t>
  </si>
  <si>
    <t>DWI 6260</t>
  </si>
  <si>
    <t>DWI 6268</t>
  </si>
  <si>
    <t>CUN-PUJ</t>
  </si>
  <si>
    <t>NLU-PUJ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</si>
</sst>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8" x14ac:knownFonts="1">
    <font>
      <sz val="10"/>
      <name val="Arial"/>
    </font>
    <font>
      <u/>
      <sz val="10"/>
      <color indexed="12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3"/>
      <name val="Arial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22"/>
      <color rgb="FFFF0000"/>
      <name val="Arial"/>
      <family val="2"/>
    </font>
    <font>
      <sz val="1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rgb="FF92D050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3">
    <xf numFmtId="0" fontId="0" fillId="0" borderId="0"/>
    <xf numFmtId="0" fontId="5" fillId="2" borderId="0" applyNumberFormat="0" applyBorder="0" applyAlignment="0" applyProtection="0"/>
    <xf numFmtId="0" fontId="6" fillId="4" borderId="2" applyNumberFormat="0" applyAlignment="0" applyProtection="0"/>
    <xf numFmtId="0" fontId="7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3" borderId="1" applyNumberFormat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4" applyNumberFormat="0" applyFont="0" applyAlignment="0" applyProtection="0"/>
    <xf numFmtId="0" fontId="10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  <xf numFmtId="0" fontId="12" fillId="0" borderId="0" xfId="0" applyFont="1"/>
    <xf numFmtId="0" fontId="4" fillId="0" borderId="0" xfId="0" applyFont="1"/>
    <xf numFmtId="0" fontId="11" fillId="0" borderId="0" xfId="0" applyFont="1"/>
    <xf numFmtId="0" fontId="2" fillId="7" borderId="0" xfId="0" applyFont="1" applyFill="1"/>
    <xf numFmtId="0" fontId="12" fillId="7" borderId="0" xfId="0" applyFont="1" applyFill="1" applyAlignment="1">
      <alignment horizontal="center" vertical="center"/>
    </xf>
    <xf numFmtId="20" fontId="2" fillId="0" borderId="0" xfId="0" applyNumberFormat="1" applyFont="1"/>
    <xf numFmtId="0" fontId="13" fillId="6" borderId="6" xfId="0" applyFont="1" applyFill="1" applyBorder="1" applyAlignment="1">
      <alignment horizontal="center" vertical="center" shrinkToFit="1"/>
    </xf>
    <xf numFmtId="0" fontId="13" fillId="6" borderId="7" xfId="0" applyFont="1" applyFill="1" applyBorder="1" applyAlignment="1">
      <alignment horizontal="center" vertical="center" shrinkToFit="1"/>
    </xf>
    <xf numFmtId="0" fontId="13" fillId="6" borderId="8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0" fontId="12" fillId="7" borderId="5" xfId="0" applyNumberFormat="1" applyFont="1" applyFill="1" applyBorder="1" applyAlignment="1">
      <alignment horizontal="center" vertical="center"/>
    </xf>
    <xf numFmtId="164" fontId="12" fillId="7" borderId="5" xfId="0" applyNumberFormat="1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1" fontId="12" fillId="7" borderId="5" xfId="0" applyNumberFormat="1" applyFont="1" applyFill="1" applyBorder="1" applyAlignment="1">
      <alignment horizontal="center" vertical="center" shrinkToFit="1"/>
    </xf>
    <xf numFmtId="20" fontId="12" fillId="0" borderId="5" xfId="0" applyNumberFormat="1" applyFont="1" applyBorder="1" applyAlignment="1">
      <alignment horizontal="center" vertical="center"/>
    </xf>
    <xf numFmtId="164" fontId="12" fillId="0" borderId="5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22" fontId="0" fillId="0" borderId="0" xfId="0" applyNumberFormat="1"/>
    <xf numFmtId="0" fontId="11" fillId="0" borderId="0" xfId="0" applyFont="1" applyAlignment="1">
      <alignment horizontal="right"/>
    </xf>
    <xf numFmtId="14" fontId="11" fillId="0" borderId="0" xfId="0" applyNumberFormat="1" applyFont="1"/>
    <xf numFmtId="0" fontId="17" fillId="0" borderId="5" xfId="0" applyFont="1" applyBorder="1"/>
    <xf numFmtId="22" fontId="17" fillId="0" borderId="5" xfId="0" applyNumberFormat="1" applyFont="1" applyBorder="1"/>
    <xf numFmtId="0" fontId="17" fillId="0" borderId="5" xfId="0" applyFont="1" applyBorder="1" applyAlignment="1">
      <alignment horizontal="center"/>
    </xf>
    <xf numFmtId="0" fontId="2" fillId="0" borderId="5" xfId="0" applyFont="1" applyBorder="1"/>
    <xf numFmtId="0" fontId="12" fillId="7" borderId="5" xfId="0" applyFont="1" applyFill="1" applyBorder="1"/>
  </cellXfs>
  <cellStyles count="23">
    <cellStyle name="Buena" xfId="1" xr:uid="{00000000-0005-0000-0000-000000000000}"/>
    <cellStyle name="Celda de comprobación" xfId="2" xr:uid="{00000000-0005-0000-0000-000001000000}"/>
    <cellStyle name="Celda vinculada" xfId="3" xr:uid="{00000000-0005-0000-0000-000002000000}"/>
    <cellStyle name="Encabezado 4" xfId="4" xr:uid="{00000000-0005-0000-0000-000003000000}"/>
    <cellStyle name="Entrada" xfId="5" xr:uid="{00000000-0005-0000-0000-000004000000}"/>
    <cellStyle name="Hyperlink 2" xfId="6" xr:uid="{00000000-0005-0000-0000-000005000000}"/>
    <cellStyle name="Normal" xfId="0" builtinId="0"/>
    <cellStyle name="Normal 10" xfId="7" xr:uid="{00000000-0005-0000-0000-000007000000}"/>
    <cellStyle name="Normal 2 10" xfId="8" xr:uid="{00000000-0005-0000-0000-000008000000}"/>
    <cellStyle name="Normal 2 2" xfId="9" xr:uid="{00000000-0005-0000-0000-000009000000}"/>
    <cellStyle name="Normal 2 4" xfId="10" xr:uid="{00000000-0005-0000-0000-00000A000000}"/>
    <cellStyle name="Normal 2 7" xfId="11" xr:uid="{00000000-0005-0000-0000-00000B000000}"/>
    <cellStyle name="Normal 3 2" xfId="12" xr:uid="{00000000-0005-0000-0000-00000C000000}"/>
    <cellStyle name="Normal 4 2" xfId="13" xr:uid="{00000000-0005-0000-0000-00000D000000}"/>
    <cellStyle name="Normal 4 3" xfId="14" xr:uid="{00000000-0005-0000-0000-00000E000000}"/>
    <cellStyle name="Normal 4 4" xfId="15" xr:uid="{00000000-0005-0000-0000-00000F000000}"/>
    <cellStyle name="Normal 4 5" xfId="16" xr:uid="{00000000-0005-0000-0000-000010000000}"/>
    <cellStyle name="Normal 5 2" xfId="17" xr:uid="{00000000-0005-0000-0000-000011000000}"/>
    <cellStyle name="Normal 5 3" xfId="18" xr:uid="{00000000-0005-0000-0000-000012000000}"/>
    <cellStyle name="Normal 5 4" xfId="19" xr:uid="{00000000-0005-0000-0000-000013000000}"/>
    <cellStyle name="Normal 5 5" xfId="20" xr:uid="{00000000-0005-0000-0000-000014000000}"/>
    <cellStyle name="Notas" xfId="21" xr:uid="{00000000-0005-0000-0000-000015000000}"/>
    <cellStyle name="Texto de advertencia" xfId="22" xr:uid="{00000000-0005-0000-0000-000016000000}"/>
  </cellStyles>
  <dxfs count="0"/>
  <tableStyles count="0" defaultTableStyle="TableStyleMedium9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revisionHeaders" Target="revisions/revisionHeader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usernames" Target="revisions/userNam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evisions/_rels/revisionHeaders.xml.rels><?xml version="1.0" encoding="UTF-8" standalone="yes"?>
<Relationships xmlns="http://schemas.openxmlformats.org/package/2006/relationships"><Relationship Id="rId396" Type="http://schemas.openxmlformats.org/officeDocument/2006/relationships/revisionLog" Target="revisionLog8.xml"/><Relationship Id="rId395" Type="http://schemas.openxmlformats.org/officeDocument/2006/relationships/revisionLog" Target="revisionLog7.xml"/><Relationship Id="rId394" Type="http://schemas.openxmlformats.org/officeDocument/2006/relationships/revisionLog" Target="revisionLog6.xml"/><Relationship Id="rId398" Type="http://schemas.openxmlformats.org/officeDocument/2006/relationships/revisionLog" Target="revisionLog1.xml"/><Relationship Id="rId393" Type="http://schemas.openxmlformats.org/officeDocument/2006/relationships/revisionLog" Target="revisionLog5.xml"/><Relationship Id="rId397" Type="http://schemas.openxmlformats.org/officeDocument/2006/relationships/revisionLog" Target="revisionLog9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954E4315-36F3-4925-879F-9A695BC46B68}" diskRevisions="1" revisionId="142245" version="34">
  <header guid="{16A6D48B-1771-4FA4-9330-4C01B0D31A23}" dateTime="2026-05-21T18:41:13" maxSheetId="4" userName="Adrián Félix Hernández Escoboza" r:id="rId393" minRId="138304" maxRId="139696">
    <sheetIdMap count="3">
      <sheetId val="1"/>
      <sheetId val="3"/>
      <sheetId val="2"/>
    </sheetIdMap>
  </header>
  <header guid="{044939DB-C1DF-40CC-BF94-959055912B2F}" dateTime="2026-05-21T18:42:43" maxSheetId="4" userName="Adrián Félix Hernández Escoboza" r:id="rId394" minRId="139699">
    <sheetIdMap count="3">
      <sheetId val="1"/>
      <sheetId val="3"/>
      <sheetId val="2"/>
    </sheetIdMap>
  </header>
  <header guid="{E043232C-0935-48BD-A870-C3A3C01A9A65}" dateTime="2026-05-21T18:43:34" maxSheetId="4" userName="Adrián Félix Hernández Escoboza" r:id="rId395" minRId="139700" maxRId="139707">
    <sheetIdMap count="3">
      <sheetId val="1"/>
      <sheetId val="3"/>
      <sheetId val="2"/>
    </sheetIdMap>
  </header>
  <header guid="{3DA0F328-61DD-44E5-93F9-80209EFAE4CC}" dateTime="2026-05-24T19:15:45" maxSheetId="4" userName="Annely Rodriguez Osoria" r:id="rId396" minRId="139708" maxRId="140980">
    <sheetIdMap count="3">
      <sheetId val="1"/>
      <sheetId val="3"/>
      <sheetId val="2"/>
    </sheetIdMap>
  </header>
  <header guid="{E5A6EF84-8E24-4471-90E8-1FB8AF7A2379}" dateTime="2026-05-24T19:23:42" maxSheetId="4" userName="Adrián Félix Hernández Escoboza" r:id="rId397" minRId="140981">
    <sheetIdMap count="3">
      <sheetId val="1"/>
      <sheetId val="3"/>
      <sheetId val="2"/>
    </sheetIdMap>
  </header>
  <header guid="{954E4315-36F3-4925-879F-9A695BC46B68}" dateTime="2026-05-26T19:29:21" maxSheetId="4" userName="Adrián Félix Hernández Escoboza" r:id="rId398" minRId="140984" maxRId="142243">
    <sheetIdMap count="3">
      <sheetId val="1"/>
      <sheetId val="3"/>
      <sheetId val="2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984" sId="1">
    <oc r="B106" t="inlineStr">
      <is>
        <t>FRONTIER AIRLINES</t>
      </is>
    </oc>
    <nc r="B106"/>
  </rcc>
  <rcc rId="140985" sId="1">
    <oc r="C106" t="inlineStr">
      <is>
        <t>FFT 241/240</t>
      </is>
    </oc>
    <nc r="C106"/>
  </rcc>
  <rcc rId="140986" sId="1" numFmtId="23">
    <oc r="D106">
      <v>46167.84652777778</v>
    </oc>
    <nc r="D106"/>
  </rcc>
  <rcc rId="140987" sId="1" numFmtId="23">
    <oc r="E106">
      <v>46167.895138888889</v>
    </oc>
    <nc r="E106"/>
  </rcc>
  <rcc rId="140988" sId="1">
    <oc r="F106" t="inlineStr">
      <is>
        <t>SJU-PUJ-SJU</t>
      </is>
    </oc>
    <nc r="F106"/>
  </rcc>
  <rcc rId="140989" sId="1">
    <oc r="G106" t="inlineStr">
      <is>
        <t>A20N</t>
      </is>
    </oc>
    <nc r="G106"/>
  </rcc>
  <rcc rId="140990" sId="1">
    <oc r="H106" t="inlineStr">
      <is>
        <t>CARIPORTS</t>
      </is>
    </oc>
    <nc r="H106"/>
  </rcc>
  <rcc rId="140991" sId="1">
    <oc r="I106">
      <v>69</v>
    </oc>
    <nc r="I106"/>
  </rcc>
  <rcc rId="140992" sId="1">
    <oc r="J106" t="inlineStr">
      <is>
        <t>N/A</t>
      </is>
    </oc>
    <nc r="J106"/>
  </rcc>
  <rcc rId="140993" sId="1">
    <oc r="K106">
      <v>179</v>
    </oc>
    <nc r="K106"/>
  </rcc>
  <rcc rId="140994" sId="1">
    <oc r="L106">
      <v>2</v>
    </oc>
    <nc r="L106"/>
  </rcc>
  <rcc rId="140995" sId="1">
    <oc r="M106" t="inlineStr">
      <is>
        <t>P8A</t>
      </is>
    </oc>
    <nc r="M106"/>
  </rcc>
  <rcc rId="140996" sId="1">
    <oc r="N106">
      <v>8</v>
    </oc>
    <nc r="N106"/>
  </rcc>
  <rcc rId="140997" sId="1">
    <oc r="O106" t="inlineStr">
      <is>
        <t>A</t>
      </is>
    </oc>
    <nc r="O106"/>
  </rcc>
  <rcc rId="140998" sId="1">
    <oc r="B107" t="inlineStr">
      <is>
        <t>ARAJET</t>
      </is>
    </oc>
    <nc r="B107"/>
  </rcc>
  <rcc rId="140999" sId="1">
    <oc r="C107" t="inlineStr">
      <is>
        <t>DWI 5101/6266</t>
      </is>
    </oc>
    <nc r="C107"/>
  </rcc>
  <rcc rId="141000" sId="1" numFmtId="23">
    <oc r="D107">
      <v>46167.895138888889</v>
    </oc>
    <nc r="D107"/>
  </rcc>
  <rcc rId="141001" sId="1" numFmtId="23">
    <oc r="E107">
      <v>46167.96875</v>
    </oc>
    <nc r="E107"/>
  </rcc>
  <rcc rId="141002" sId="1">
    <oc r="F107" t="inlineStr">
      <is>
        <t>MIA-PUJ-EZE</t>
      </is>
    </oc>
    <nc r="F107"/>
  </rcc>
  <rcc rId="141003" sId="1">
    <oc r="G107" t="inlineStr">
      <is>
        <t>B38M</t>
      </is>
    </oc>
    <nc r="G107"/>
  </rcc>
  <rcc rId="141004" sId="1">
    <oc r="H107" t="inlineStr">
      <is>
        <t>A.A.G.</t>
      </is>
    </oc>
    <nc r="H107"/>
  </rcc>
  <rcc rId="141005" sId="1">
    <oc r="I107">
      <v>106</v>
    </oc>
    <nc r="I107"/>
  </rcc>
  <rcc rId="141006" sId="1">
    <oc r="J107" t="inlineStr">
      <is>
        <t>N/A</t>
      </is>
    </oc>
    <nc r="J107"/>
  </rcc>
  <rcc rId="141007" sId="1">
    <oc r="K107" t="inlineStr">
      <is>
        <t>N/A</t>
      </is>
    </oc>
    <nc r="K107"/>
  </rcc>
  <rcc rId="141008" sId="1">
    <oc r="L107">
      <v>11</v>
    </oc>
    <nc r="L107"/>
  </rcc>
  <rcc rId="141009" sId="1">
    <oc r="M107" t="inlineStr">
      <is>
        <t>B24</t>
      </is>
    </oc>
    <nc r="M107"/>
  </rcc>
  <rcc rId="141010" sId="1">
    <oc r="N107">
      <v>24</v>
    </oc>
    <nc r="N107"/>
  </rcc>
  <rcc rId="141011" sId="1">
    <oc r="O107" t="inlineStr">
      <is>
        <t>B</t>
      </is>
    </oc>
    <nc r="O107"/>
  </rcc>
  <rcc rId="141012" sId="1">
    <oc r="B108" t="inlineStr">
      <is>
        <t>ARAJET</t>
      </is>
    </oc>
    <nc r="B108"/>
  </rcc>
  <rcc rId="141013" sId="1">
    <oc r="C108" t="inlineStr">
      <is>
        <t>DWI 8001/1027</t>
      </is>
    </oc>
    <nc r="C108"/>
  </rcc>
  <rcc rId="141014" sId="1" numFmtId="23">
    <oc r="D108">
      <v>46167.916666666664</v>
    </oc>
    <nc r="D108"/>
  </rcc>
  <rcc rId="141015" sId="1" numFmtId="23">
    <oc r="E108">
      <v>46167.940972222219</v>
    </oc>
    <nc r="E108"/>
  </rcc>
  <rcc rId="141016" sId="1">
    <oc r="F108" t="inlineStr">
      <is>
        <t>GRU-PUJ-SDQ</t>
      </is>
    </oc>
    <nc r="F108"/>
  </rcc>
  <rcc rId="141017" sId="1">
    <oc r="G108" t="inlineStr">
      <is>
        <t>B38M</t>
      </is>
    </oc>
    <nc r="G108"/>
  </rcc>
  <rcc rId="141018" sId="1">
    <oc r="H108" t="inlineStr">
      <is>
        <t>A.A.G.</t>
      </is>
    </oc>
    <nc r="H108"/>
  </rcc>
  <rcc rId="141019" sId="1">
    <oc r="I108">
      <v>168</v>
    </oc>
    <nc r="I108"/>
  </rcc>
  <rcc rId="141020" sId="1">
    <oc r="J108" t="inlineStr">
      <is>
        <t>N/A</t>
      </is>
    </oc>
    <nc r="J108"/>
  </rcc>
  <rcc rId="141021" sId="1">
    <oc r="K108" t="inlineStr">
      <is>
        <t>N/A</t>
      </is>
    </oc>
    <nc r="K108"/>
  </rcc>
  <rcc rId="141022" sId="1">
    <oc r="L108">
      <v>12</v>
    </oc>
    <nc r="L108"/>
  </rcc>
  <rcc rId="141023" sId="1">
    <oc r="M108" t="inlineStr">
      <is>
        <t>B26A</t>
      </is>
    </oc>
    <nc r="M108"/>
  </rcc>
  <rcc rId="141024" sId="1">
    <oc r="N108">
      <v>26</v>
    </oc>
    <nc r="N108"/>
  </rcc>
  <rcc rId="141025" sId="1">
    <oc r="O108" t="inlineStr">
      <is>
        <t>B</t>
      </is>
    </oc>
    <nc r="O108"/>
  </rcc>
  <rcc rId="141026" sId="1">
    <oc r="B109" t="inlineStr">
      <is>
        <t>ARAJET</t>
      </is>
    </oc>
    <nc r="B109"/>
  </rcc>
  <rcc rId="141027" sId="1">
    <oc r="C109" t="inlineStr">
      <is>
        <t>DWI 7003</t>
      </is>
    </oc>
    <nc r="C109"/>
  </rcc>
  <rcc rId="141028" sId="1" numFmtId="23">
    <oc r="D109">
      <v>46167.918749999997</v>
    </oc>
    <nc r="D109"/>
  </rcc>
  <rcc rId="141029" sId="1">
    <oc r="E109" t="inlineStr">
      <is>
        <t>OVER</t>
      </is>
    </oc>
    <nc r="E109"/>
  </rcc>
  <rcc rId="141030" sId="1">
    <oc r="F109" t="inlineStr">
      <is>
        <t>CUN-PUJ-EZE</t>
      </is>
    </oc>
    <nc r="F109"/>
  </rcc>
  <rcc rId="141031" sId="1">
    <oc r="G109" t="inlineStr">
      <is>
        <t>B38M</t>
      </is>
    </oc>
    <nc r="G109"/>
  </rcc>
  <rcc rId="141032" sId="1">
    <oc r="H109" t="inlineStr">
      <is>
        <t>A.A.G.</t>
      </is>
    </oc>
    <nc r="H109"/>
  </rcc>
  <rcc rId="141033" sId="1">
    <oc r="I109">
      <v>173</v>
    </oc>
    <nc r="I109"/>
  </rcc>
  <rcc rId="141034" sId="1">
    <oc r="J109">
      <v>29</v>
    </oc>
    <nc r="J109"/>
  </rcc>
  <rcc rId="141035" sId="1">
    <oc r="K109" t="inlineStr">
      <is>
        <t>N/A</t>
      </is>
    </oc>
    <nc r="K109"/>
  </rcc>
  <rcc rId="141036" sId="1">
    <oc r="L109">
      <v>13</v>
    </oc>
    <nc r="L109"/>
  </rcc>
  <rcc rId="141037" sId="1">
    <oc r="M109" t="inlineStr">
      <is>
        <t>B22</t>
      </is>
    </oc>
    <nc r="M109"/>
  </rcc>
  <rcc rId="141038" sId="1">
    <oc r="N109">
      <v>22</v>
    </oc>
    <nc r="N109"/>
  </rcc>
  <rcc rId="141039" sId="1">
    <oc r="O109" t="inlineStr">
      <is>
        <t>B</t>
      </is>
    </oc>
    <nc r="O109"/>
  </rcc>
  <rcc rId="141040" sId="1">
    <oc r="B110" t="inlineStr">
      <is>
        <t>ARAJET</t>
      </is>
    </oc>
    <nc r="B110"/>
  </rcc>
  <rcc rId="141041" sId="1">
    <oc r="C110" t="inlineStr">
      <is>
        <t>DWI 7101</t>
      </is>
    </oc>
    <nc r="C110"/>
  </rcc>
  <rcc rId="141042" sId="1" numFmtId="23">
    <oc r="D110">
      <v>46167.981944444444</v>
    </oc>
    <nc r="D110"/>
  </rcc>
  <rcc rId="141043" sId="1">
    <oc r="E110" t="inlineStr">
      <is>
        <t>OVER</t>
      </is>
    </oc>
    <nc r="E110"/>
  </rcc>
  <rcc rId="141044" sId="1">
    <oc r="F110" t="inlineStr">
      <is>
        <t>NLU-PUJ-GRU</t>
      </is>
    </oc>
    <nc r="F110"/>
  </rcc>
  <rcc rId="141045" sId="1">
    <oc r="G110" t="inlineStr">
      <is>
        <t>B38M</t>
      </is>
    </oc>
    <nc r="G110"/>
  </rcc>
  <rcc rId="141046" sId="1">
    <oc r="H110" t="inlineStr">
      <is>
        <t>A.A.G.</t>
      </is>
    </oc>
    <nc r="H110"/>
  </rcc>
  <rcc rId="141047" sId="1">
    <oc r="I110">
      <v>149</v>
    </oc>
    <nc r="I110"/>
  </rcc>
  <rcc rId="141048" sId="1">
    <oc r="J110">
      <v>18</v>
    </oc>
    <nc r="J110"/>
  </rcc>
  <rcc rId="141049" sId="1">
    <oc r="K110" t="inlineStr">
      <is>
        <t>N/A</t>
      </is>
    </oc>
    <nc r="K110"/>
  </rcc>
  <rcc rId="141050" sId="1">
    <oc r="L110">
      <v>11</v>
    </oc>
    <nc r="L110"/>
  </rcc>
  <rcc rId="141051" sId="1">
    <oc r="M110" t="inlineStr">
      <is>
        <t>B20</t>
      </is>
    </oc>
    <nc r="M110"/>
  </rcc>
  <rcc rId="141052" sId="1">
    <oc r="N110">
      <v>20</v>
    </oc>
    <nc r="N110"/>
  </rcc>
  <rcc rId="141053" sId="1">
    <oc r="O110" t="inlineStr">
      <is>
        <t>B</t>
      </is>
    </oc>
    <nc r="O110"/>
  </rcc>
  <rcc rId="141054" sId="1">
    <oc r="B3" t="inlineStr">
      <is>
        <t>UNITED AIRLINES</t>
      </is>
    </oc>
    <nc r="B3" t="inlineStr">
      <is>
        <t>ARAJET</t>
      </is>
    </nc>
  </rcc>
  <rcc rId="141055" sId="1" numFmtId="23">
    <oc r="E3">
      <v>46168.777777777781</v>
    </oc>
    <nc r="E3">
      <v>46169.104166666664</v>
    </nc>
  </rcc>
  <rcc rId="141056" sId="1">
    <oc r="B4" t="inlineStr">
      <is>
        <t>UNITED AIRLINES</t>
      </is>
    </oc>
    <nc r="B4" t="inlineStr">
      <is>
        <t>ARAJET</t>
      </is>
    </nc>
  </rcc>
  <rcc rId="141057" sId="1">
    <oc r="B5" t="inlineStr">
      <is>
        <t xml:space="preserve">UNIWORLD AIR CARGO </t>
      </is>
    </oc>
    <nc r="B5" t="inlineStr">
      <is>
        <t>AEROMEXICO</t>
      </is>
    </nc>
  </rcc>
  <rcc rId="141058" sId="1" numFmtId="23">
    <oc r="E5">
      <v>46167.145833333336</v>
    </oc>
    <nc r="E5">
      <v>46171.375</v>
    </nc>
  </rcc>
  <rcc rId="141059" sId="1">
    <oc r="B6" t="inlineStr">
      <is>
        <t>AIR TRANSAT</t>
      </is>
    </oc>
    <nc r="B6" t="inlineStr">
      <is>
        <t>ARAJET</t>
      </is>
    </nc>
  </rcc>
  <rcc rId="141060" sId="1" numFmtId="23">
    <oc r="E6">
      <v>46167.354166666664</v>
    </oc>
    <nc r="E6">
      <v>46169.163194444445</v>
    </nc>
  </rcc>
  <rcc rId="141061" sId="1" numFmtId="23">
    <oc r="E7">
      <v>46167.006944444445</v>
    </oc>
    <nc r="E7">
      <v>46169.15625</v>
    </nc>
  </rcc>
  <rcc rId="141062" sId="1">
    <oc r="B8" t="inlineStr">
      <is>
        <t>ARAJET</t>
      </is>
    </oc>
    <nc r="B8" t="inlineStr">
      <is>
        <t>AEROLINEAS ARGENTINAS</t>
      </is>
    </nc>
  </rcc>
  <rcc rId="141063" sId="1">
    <oc r="C8" t="inlineStr">
      <is>
        <t>DWI 8000</t>
      </is>
    </oc>
    <nc r="C8" t="inlineStr">
      <is>
        <t>ARG 1324/1325</t>
      </is>
    </nc>
  </rcc>
  <rcc rId="141064" sId="1" numFmtId="23">
    <oc r="D8" t="inlineStr">
      <is>
        <t>OVER</t>
      </is>
    </oc>
    <nc r="D8">
      <v>46169.25</v>
    </nc>
  </rcc>
  <rcc rId="141065" sId="1" numFmtId="23">
    <oc r="E8">
      <v>46167.21875</v>
    </oc>
    <nc r="E8">
      <v>46169.333333333336</v>
    </nc>
  </rcc>
  <rcc rId="141066" sId="1">
    <oc r="F8" t="inlineStr">
      <is>
        <t>SDQ-PUJ-GRU</t>
      </is>
    </oc>
    <nc r="F8" t="inlineStr">
      <is>
        <t>EZE-PUJ-EZE</t>
      </is>
    </nc>
  </rcc>
  <rcc rId="141067" sId="1">
    <oc r="B9" t="inlineStr">
      <is>
        <t>GLOBAL AIR X</t>
      </is>
    </oc>
    <nc r="B9" t="inlineStr">
      <is>
        <t>ARAJET</t>
      </is>
    </nc>
  </rcc>
  <rcc rId="141068" sId="1">
    <oc r="C9" t="inlineStr">
      <is>
        <t>GXA 6201/6202</t>
      </is>
    </oc>
    <nc r="C9" t="inlineStr">
      <is>
        <t>DWI 7165/800</t>
      </is>
    </nc>
  </rcc>
  <rcc rId="141069" sId="1" numFmtId="23">
    <oc r="D9">
      <v>46167.354166666664</v>
    </oc>
    <nc r="D9">
      <v>46169.260416666664</v>
    </nc>
  </rcc>
  <rcc rId="141070" sId="1" numFmtId="23">
    <oc r="E9">
      <v>46167.395833333336</v>
    </oc>
    <nc r="E9">
      <v>46169.313194444447</v>
    </nc>
  </rcc>
  <rcc rId="141071" sId="1">
    <oc r="F9" t="inlineStr">
      <is>
        <t>SJU-PUJ-SJU</t>
      </is>
    </oc>
    <nc r="F9" t="inlineStr">
      <is>
        <t>NLU-PUJ-KIN</t>
      </is>
    </nc>
  </rcc>
  <rcc rId="141072" sId="1">
    <oc r="B10" t="inlineStr">
      <is>
        <t>JETBLUE AIRWAYS</t>
      </is>
    </oc>
    <nc r="B10" t="inlineStr">
      <is>
        <t xml:space="preserve">UNIWORLD AIR CARGO </t>
      </is>
    </nc>
  </rcc>
  <rcc rId="141073" sId="1">
    <oc r="C10" t="inlineStr">
      <is>
        <t>JBU 1473/1474</t>
      </is>
    </oc>
    <nc r="C10" t="inlineStr">
      <is>
        <t>UCG 253/194</t>
      </is>
    </nc>
  </rcc>
  <rcc rId="141074" sId="1" numFmtId="23">
    <oc r="D10">
      <v>46167.387499999997</v>
    </oc>
    <nc r="D10">
      <v>46169.302083333336</v>
    </nc>
  </rcc>
  <rcc rId="141075" sId="1" numFmtId="23">
    <oc r="E10">
      <v>46167.429166666669</v>
    </oc>
    <nc r="E10">
      <v>46169.34375</v>
    </nc>
  </rcc>
  <rcc rId="141076" sId="1">
    <oc r="F10" t="inlineStr">
      <is>
        <t>FLL-PUJ-FLL</t>
      </is>
    </oc>
    <nc r="F10" t="inlineStr">
      <is>
        <t>BOG-PUJ-CCS</t>
      </is>
    </nc>
  </rcc>
  <rcc rId="141077" sId="1">
    <oc r="B11" t="inlineStr">
      <is>
        <t>ARAJET</t>
      </is>
    </oc>
    <nc r="B11" t="inlineStr">
      <is>
        <t>JETBLUE AIRWAYS</t>
      </is>
    </nc>
  </rcc>
  <rcc rId="141078" sId="1">
    <oc r="C11" t="inlineStr">
      <is>
        <t>DWI 6775/6200</t>
      </is>
    </oc>
    <nc r="C11" t="inlineStr">
      <is>
        <t>JBU 1473/1474</t>
      </is>
    </nc>
  </rcc>
  <rcc rId="141079" sId="1" numFmtId="23">
    <oc r="D11">
      <v>46167.388194444444</v>
    </oc>
    <nc r="D11">
      <v>46169.387499999997</v>
    </nc>
  </rcc>
  <rcc rId="141080" sId="1" numFmtId="23">
    <oc r="E11">
      <v>46167.46875</v>
    </oc>
    <nc r="E11">
      <v>46169.429166666669</v>
    </nc>
  </rcc>
  <rcc rId="141081" sId="1">
    <oc r="F11" t="inlineStr">
      <is>
        <t>LIM-PUJ-EZE</t>
      </is>
    </oc>
    <nc r="F11" t="inlineStr">
      <is>
        <t>FLL-PUJ-FLL</t>
      </is>
    </nc>
  </rcc>
  <rcc rId="141082" sId="1">
    <oc r="B12" t="inlineStr">
      <is>
        <t>JETBLUE AIRWAYS</t>
      </is>
    </oc>
    <nc r="B12" t="inlineStr">
      <is>
        <t>ARAJET</t>
      </is>
    </nc>
  </rcc>
  <rcc rId="141083" sId="1">
    <oc r="C12" t="inlineStr">
      <is>
        <t>JBU 563/564</t>
      </is>
    </oc>
    <nc r="C12" t="inlineStr">
      <is>
        <t>DWI 6771/1099</t>
      </is>
    </nc>
  </rcc>
  <rcc rId="141084" sId="1" numFmtId="23">
    <oc r="D12">
      <v>46167.392361111109</v>
    </oc>
    <nc r="D12">
      <v>46169.388194444444</v>
    </nc>
  </rcc>
  <rcc rId="141085" sId="1" numFmtId="23">
    <oc r="E12">
      <v>46167.434027777781</v>
    </oc>
    <nc r="E12">
      <v>46169.5</v>
    </nc>
  </rcc>
  <rcc rId="141086" sId="1">
    <oc r="F12" t="inlineStr">
      <is>
        <t>TPA-PUJ-TPA</t>
      </is>
    </oc>
    <nc r="F12" t="inlineStr">
      <is>
        <t>LIM-PUJ-SDQ</t>
      </is>
    </nc>
  </rcc>
  <rcc rId="141087" sId="1">
    <oc r="C13" t="inlineStr">
      <is>
        <t>JBU 869/268</t>
      </is>
    </oc>
    <nc r="C13" t="inlineStr">
      <is>
        <t>JBU 563/564</t>
      </is>
    </nc>
  </rcc>
  <rcc rId="141088" sId="1" numFmtId="23">
    <oc r="D13">
      <v>46167.410416666666</v>
    </oc>
    <nc r="D13">
      <v>46169.392361111109</v>
    </nc>
  </rcc>
  <rcc rId="141089" sId="1" numFmtId="23">
    <oc r="E13">
      <v>46167.47152777778</v>
    </oc>
    <nc r="E13">
      <v>46169.434027777781</v>
    </nc>
  </rcc>
  <rcc rId="141090" sId="1">
    <oc r="F13" t="inlineStr">
      <is>
        <t>JFK-PUJ-JFK</t>
      </is>
    </oc>
    <nc r="F13" t="inlineStr">
      <is>
        <t>TPA-PUJ-TPA</t>
      </is>
    </nc>
  </rcc>
  <rcc rId="141091" sId="1">
    <oc r="B14" t="inlineStr">
      <is>
        <t>FRONTIER AIRLINES</t>
      </is>
    </oc>
    <nc r="B14" t="inlineStr">
      <is>
        <t>JETBLUE AIRWAYS</t>
      </is>
    </nc>
  </rcc>
  <rcc rId="141092" sId="1">
    <oc r="C14" t="inlineStr">
      <is>
        <t>FFT 66/67</t>
      </is>
    </oc>
    <nc r="C14" t="inlineStr">
      <is>
        <t>JBU 869/268</t>
      </is>
    </nc>
  </rcc>
  <rcc rId="141093" sId="1" numFmtId="23">
    <oc r="D14">
      <v>46167.440972222219</v>
    </oc>
    <nc r="D14">
      <v>46169.410416666666</v>
    </nc>
  </rcc>
  <rcc rId="141094" sId="1" numFmtId="23">
    <oc r="E14">
      <v>46167.489583333336</v>
    </oc>
    <nc r="E14">
      <v>46169.47152777778</v>
    </nc>
  </rcc>
  <rcc rId="141095" sId="1">
    <oc r="F14" t="inlineStr">
      <is>
        <t>MIA-PUJ-MIA</t>
      </is>
    </oc>
    <nc r="F14" t="inlineStr">
      <is>
        <t>JFK-PUJ-JFK</t>
      </is>
    </nc>
  </rcc>
  <rcc rId="141096" sId="1">
    <oc r="B15" t="inlineStr">
      <is>
        <t>FRONTIER AIRLINES</t>
      </is>
    </oc>
    <nc r="B15" t="inlineStr">
      <is>
        <t>ARAJET</t>
      </is>
    </nc>
  </rcc>
  <rcc rId="141097" sId="1">
    <oc r="C15" t="inlineStr">
      <is>
        <t>FFT 239/7</t>
      </is>
    </oc>
    <nc r="C15" t="inlineStr">
      <is>
        <t>DWI 6087/6020</t>
      </is>
    </nc>
  </rcc>
  <rcc rId="141098" sId="1" numFmtId="23">
    <oc r="D15">
      <v>46167.440972222219</v>
    </oc>
    <nc r="D15">
      <v>46169.413194444445</v>
    </nc>
  </rcc>
  <rcc rId="141099" sId="1" numFmtId="23">
    <oc r="E15">
      <v>46167.493055555555</v>
    </oc>
    <nc r="E15">
      <v>46169.59375</v>
    </nc>
  </rcc>
  <rcc rId="141100" sId="1">
    <oc r="F15" t="inlineStr">
      <is>
        <t>SJU-PUJ-STL</t>
      </is>
    </oc>
    <nc r="F15" t="inlineStr">
      <is>
        <t>GRU-PUJ-GRU</t>
      </is>
    </nc>
  </rcc>
  <rcc rId="141101" sId="1">
    <oc r="B16" t="inlineStr">
      <is>
        <t>JETBLUE AIRWAYS</t>
      </is>
    </oc>
    <nc r="B16" t="inlineStr">
      <is>
        <t>BREEZE AIRWAYS</t>
      </is>
    </nc>
  </rcc>
  <rcc rId="141102" sId="1">
    <oc r="C16" t="inlineStr">
      <is>
        <t>JBU 2895/2896</t>
      </is>
    </oc>
    <nc r="C16" t="inlineStr">
      <is>
        <t>MXY 380/381</t>
      </is>
    </nc>
  </rcc>
  <rcc rId="141103" sId="1" numFmtId="23">
    <oc r="D16">
      <v>46167.443055555559</v>
    </oc>
    <nc r="D16">
      <v>46169.430555555555</v>
    </nc>
  </rcc>
  <rcc rId="141104" sId="1" numFmtId="23">
    <oc r="E16">
      <v>46167.484722222223</v>
    </oc>
    <nc r="E16">
      <v>46169.472222222219</v>
    </nc>
  </rcc>
  <rcc rId="141105" sId="1">
    <oc r="F16" t="inlineStr">
      <is>
        <t>BOS-PUJ-BOS</t>
      </is>
    </oc>
    <nc r="F16" t="inlineStr">
      <is>
        <t>RDU-PUJ-RDU</t>
      </is>
    </nc>
  </rcc>
  <rcc rId="141106" sId="1">
    <oc r="B17" t="inlineStr">
      <is>
        <t>COPA AIRLINES</t>
      </is>
    </oc>
    <nc r="B17" t="inlineStr">
      <is>
        <t>FRONTIER AIRLINES</t>
      </is>
    </nc>
  </rcc>
  <rcc rId="141107" sId="1">
    <oc r="C17" t="inlineStr">
      <is>
        <t>CMP 177/178</t>
      </is>
    </oc>
    <nc r="C17" t="inlineStr">
      <is>
        <t>FFT 239/7</t>
      </is>
    </nc>
  </rcc>
  <rcc rId="141108" sId="1" numFmtId="23">
    <oc r="D17">
      <v>46167.443749999999</v>
    </oc>
    <nc r="D17">
      <v>46169.440972222219</v>
    </nc>
  </rcc>
  <rcc rId="141109" sId="1" numFmtId="23">
    <oc r="E17">
      <v>46167.488888888889</v>
    </oc>
    <nc r="E17">
      <v>46169.493055555555</v>
    </nc>
  </rcc>
  <rcc rId="141110" sId="1">
    <oc r="F17" t="inlineStr">
      <is>
        <t>PTY-PUJ-PTY</t>
      </is>
    </oc>
    <nc r="F17" t="inlineStr">
      <is>
        <t>SJU-PUJ-STL</t>
      </is>
    </nc>
  </rcc>
  <rcc rId="141111" sId="1">
    <oc r="B18" t="inlineStr">
      <is>
        <t>AMERICAN AIRLINES</t>
      </is>
    </oc>
    <nc r="B18" t="inlineStr">
      <is>
        <t>FRONTIER AIRLINES</t>
      </is>
    </nc>
  </rcc>
  <rcc rId="141112" sId="1">
    <oc r="C18" t="inlineStr">
      <is>
        <t>AAL 1280/980</t>
      </is>
    </oc>
    <nc r="C18" t="inlineStr">
      <is>
        <t>FFT 66/67</t>
      </is>
    </nc>
  </rcc>
  <rcc rId="141113" sId="1" numFmtId="23">
    <oc r="D18">
      <v>46167.447222222225</v>
    </oc>
    <nc r="D18">
      <v>46169.440972222219</v>
    </nc>
  </rcc>
  <rcc rId="141114" sId="1" numFmtId="23">
    <oc r="E18">
      <v>46167.488888888889</v>
    </oc>
    <nc r="E18">
      <v>46169.489583333336</v>
    </nc>
  </rcc>
  <rcc rId="141115" sId="1">
    <oc r="F18" t="inlineStr">
      <is>
        <t>CLT-PUJ-CLT</t>
      </is>
    </oc>
    <nc r="F18" t="inlineStr">
      <is>
        <t>MIA-PUJ-MIA</t>
      </is>
    </nc>
  </rcc>
  <rcc rId="141116" sId="1">
    <oc r="B19" t="inlineStr">
      <is>
        <t>AMERICAN AIRLINES</t>
      </is>
    </oc>
    <nc r="B19" t="inlineStr">
      <is>
        <t>JETBLUE AIRWAYS</t>
      </is>
    </nc>
  </rcc>
  <rcc rId="141117" sId="1">
    <oc r="C19" t="inlineStr">
      <is>
        <t>AAL 1485/1161</t>
      </is>
    </oc>
    <nc r="C19" t="inlineStr">
      <is>
        <t>JBU 2895/2896</t>
      </is>
    </nc>
  </rcc>
  <rcc rId="141118" sId="1" numFmtId="23">
    <oc r="D19">
      <v>46167.451388888891</v>
    </oc>
    <nc r="D19">
      <v>46169.443055555559</v>
    </nc>
  </rcc>
  <rcc rId="141119" sId="1" numFmtId="23">
    <oc r="E19">
      <v>46167.493055555555</v>
    </oc>
    <nc r="E19">
      <v>46169.484722222223</v>
    </nc>
  </rcc>
  <rcc rId="141120" sId="1">
    <oc r="F19" t="inlineStr">
      <is>
        <t>JFK-PUJ-JFK</t>
      </is>
    </oc>
    <nc r="F19" t="inlineStr">
      <is>
        <t>BOS-PUJ-BOS</t>
      </is>
    </nc>
  </rcc>
  <rcc rId="141121" sId="1">
    <oc r="B20" t="inlineStr">
      <is>
        <t>JETBLUE AIRWAYS</t>
      </is>
    </oc>
    <nc r="B20" t="inlineStr">
      <is>
        <t>COPA AIRLINES</t>
      </is>
    </nc>
  </rcc>
  <rcc rId="141122" sId="1">
    <oc r="C20" t="inlineStr">
      <is>
        <t>JBU 989/1008</t>
      </is>
    </oc>
    <nc r="C20" t="inlineStr">
      <is>
        <t>CMP 177/178</t>
      </is>
    </nc>
  </rcc>
  <rcc rId="141123" sId="1" numFmtId="23">
    <oc r="D20">
      <v>46167.453472222223</v>
    </oc>
    <nc r="D20">
      <v>46169.443749999999</v>
    </nc>
  </rcc>
  <rcc rId="141124" sId="1" numFmtId="23">
    <oc r="E20">
      <v>46167.506249999999</v>
    </oc>
    <nc r="E20">
      <v>46169.488888888889</v>
    </nc>
  </rcc>
  <rcc rId="141125" sId="1">
    <oc r="F20" t="inlineStr">
      <is>
        <t>JFK-PUJ-JFK</t>
      </is>
    </oc>
    <nc r="F20" t="inlineStr">
      <is>
        <t>PTY-PUJ-PTY</t>
      </is>
    </nc>
  </rcc>
  <rcc rId="141126" sId="1">
    <oc r="C21" t="inlineStr">
      <is>
        <t>AAL 2641/2641</t>
      </is>
    </oc>
    <nc r="C21" t="inlineStr">
      <is>
        <t>AAL 1280/980</t>
      </is>
    </nc>
  </rcc>
  <rcc rId="141127" sId="1" numFmtId="23">
    <oc r="D21">
      <v>46167.454861111109</v>
    </oc>
    <nc r="D21">
      <v>46169.447222222225</v>
    </nc>
  </rcc>
  <rcc rId="141128" sId="1" numFmtId="23">
    <oc r="E21">
      <v>46167.49722222222</v>
    </oc>
    <nc r="E21">
      <v>46169.488888888889</v>
    </nc>
  </rcc>
  <rcc rId="141129" sId="1">
    <oc r="F21" t="inlineStr">
      <is>
        <t>PHL-PUJ-PHL</t>
      </is>
    </oc>
    <nc r="F21" t="inlineStr">
      <is>
        <t>CLT-PUJ-CLT</t>
      </is>
    </nc>
  </rcc>
  <rcc rId="141130" sId="1">
    <oc r="B22" t="inlineStr">
      <is>
        <t>FRONTIER AIRLINES</t>
      </is>
    </oc>
    <nc r="B22" t="inlineStr">
      <is>
        <t>AMERICAN AIRLINES</t>
      </is>
    </nc>
  </rcc>
  <rcc rId="141131" sId="1">
    <oc r="C22" t="inlineStr">
      <is>
        <t>FFT 22/23</t>
      </is>
    </oc>
    <nc r="C22" t="inlineStr">
      <is>
        <t>AAL 1485/1161</t>
      </is>
    </nc>
  </rcc>
  <rcc rId="141132" sId="1" numFmtId="23">
    <oc r="D22">
      <v>46167.456250000003</v>
    </oc>
    <nc r="D22">
      <v>46169.451388888891</v>
    </nc>
  </rcc>
  <rcc rId="141133" sId="1" numFmtId="23">
    <oc r="E22">
      <v>46167.504861111112</v>
    </oc>
    <nc r="E22">
      <v>46169.493055555555</v>
    </nc>
  </rcc>
  <rcc rId="141134" sId="1">
    <oc r="F22" t="inlineStr">
      <is>
        <t>PHL-PUJ-PHL</t>
      </is>
    </oc>
    <nc r="F22" t="inlineStr">
      <is>
        <t>JFK-PUJ-JFK</t>
      </is>
    </nc>
  </rcc>
  <rcc rId="141135" sId="1">
    <oc r="B23" t="inlineStr">
      <is>
        <t>COPA AIRLINES</t>
      </is>
    </oc>
    <nc r="B23" t="inlineStr">
      <is>
        <t>JETBLUE AIRWAYS</t>
      </is>
    </nc>
  </rcc>
  <rcc rId="141136" sId="1">
    <oc r="C23" t="inlineStr">
      <is>
        <t>CMP 110/109</t>
      </is>
    </oc>
    <nc r="C23" t="inlineStr">
      <is>
        <t>JBU 989/1008</t>
      </is>
    </nc>
  </rcc>
  <rcc rId="141137" sId="1" numFmtId="23">
    <oc r="D23">
      <v>46167.457638888889</v>
    </oc>
    <nc r="D23">
      <v>46169.453472222223</v>
    </nc>
  </rcc>
  <rcc rId="141138" sId="1" numFmtId="23">
    <oc r="E23">
      <v>46167.503472222219</v>
    </oc>
    <nc r="E23">
      <v>46169.506249999999</v>
    </nc>
  </rcc>
  <rcc rId="141139" sId="1">
    <oc r="F23" t="inlineStr">
      <is>
        <t>PTY-PUJ-PTY</t>
      </is>
    </oc>
    <nc r="F23" t="inlineStr">
      <is>
        <t>JFK-PUJ-JFK</t>
      </is>
    </nc>
  </rcc>
  <rcc rId="141140" sId="1">
    <oc r="C24" t="inlineStr">
      <is>
        <t>AAL 1270/1270</t>
      </is>
    </oc>
    <nc r="C24" t="inlineStr">
      <is>
        <t>AAL 2641/2641</t>
      </is>
    </nc>
  </rcc>
  <rcc rId="141141" sId="1" numFmtId="23">
    <oc r="D24">
      <v>46167.461111111108</v>
    </oc>
    <nc r="D24">
      <v>46169.454861111109</v>
    </nc>
  </rcc>
  <rcc rId="141142" sId="1" numFmtId="23">
    <oc r="E24">
      <v>46167.50277777778</v>
    </oc>
    <nc r="E24">
      <v>46169.49722222222</v>
    </nc>
  </rcc>
  <rcc rId="141143" sId="1">
    <oc r="F24" t="inlineStr">
      <is>
        <t>MIA-PUJ-MIA</t>
      </is>
    </oc>
    <nc r="F24" t="inlineStr">
      <is>
        <t>PHL-PUJ-PHL</t>
      </is>
    </nc>
  </rcc>
  <rcc rId="141144" sId="1">
    <oc r="B25" t="inlineStr">
      <is>
        <t>ARAJET</t>
      </is>
    </oc>
    <nc r="B25" t="inlineStr">
      <is>
        <t>COPA AIRLINES</t>
      </is>
    </nc>
  </rcc>
  <rcc rId="141145" sId="1">
    <oc r="C25" t="inlineStr">
      <is>
        <t>DWI 5421/1134</t>
      </is>
    </oc>
    <nc r="C25" t="inlineStr">
      <is>
        <t>CMP 110/109</t>
      </is>
    </nc>
  </rcc>
  <rcc rId="141146" sId="1" numFmtId="23">
    <oc r="D25">
      <v>46167.461805555555</v>
    </oc>
    <nc r="D25">
      <v>46169.457638888889</v>
    </nc>
  </rcc>
  <rcc rId="141147" sId="1" numFmtId="23">
    <oc r="E25">
      <v>46167.486111111109</v>
    </oc>
    <nc r="E25">
      <v>46169.503472222219</v>
    </nc>
  </rcc>
  <rcc rId="141148" sId="1">
    <oc r="F25" t="inlineStr">
      <is>
        <t>ORD-PUJ-SDQ</t>
      </is>
    </oc>
    <nc r="F25" t="inlineStr">
      <is>
        <t>PTY-PUJ-PTY</t>
      </is>
    </nc>
  </rcc>
  <rcc rId="141149" sId="1">
    <oc r="B26" t="inlineStr">
      <is>
        <t>AVIANCA</t>
      </is>
    </oc>
    <nc r="B26" t="inlineStr">
      <is>
        <t>ARAJET</t>
      </is>
    </nc>
  </rcc>
  <rcc rId="141150" sId="1">
    <oc r="C26" t="inlineStr">
      <is>
        <t>AVA 128/129</t>
      </is>
    </oc>
    <nc r="C26" t="inlineStr">
      <is>
        <t>DWI 5863/6310</t>
      </is>
    </nc>
  </rcc>
  <rcc rId="141151" sId="1" numFmtId="23">
    <oc r="D26">
      <v>46167.475694444445</v>
    </oc>
    <nc r="D26">
      <v>46169.458333333336</v>
    </nc>
  </rcc>
  <rcc rId="141152" sId="1" numFmtId="23">
    <oc r="E26">
      <v>46167.534722222219</v>
    </oc>
    <nc r="E26">
      <v>46169.570138888892</v>
    </nc>
  </rcc>
  <rcc rId="141153" sId="1">
    <oc r="F26" t="inlineStr">
      <is>
        <t>BOG-PUJ-BOG</t>
      </is>
    </oc>
    <nc r="F26" t="inlineStr">
      <is>
        <t>YYZ-PUJ-MDZ</t>
      </is>
    </nc>
  </rcc>
  <rcc rId="141154" sId="1">
    <oc r="B27" t="inlineStr">
      <is>
        <t>ARAJET</t>
      </is>
    </oc>
    <nc r="B27" t="inlineStr">
      <is>
        <t>AMERICAN AIRLINES</t>
      </is>
    </nc>
  </rcc>
  <rcc rId="141155" sId="1">
    <oc r="C27" t="inlineStr">
      <is>
        <t>DWI 6089/7100</t>
      </is>
    </oc>
    <nc r="C27" t="inlineStr">
      <is>
        <t>AAL 1270/1270</t>
      </is>
    </nc>
  </rcc>
  <rcc rId="141156" sId="1" numFmtId="23">
    <oc r="D27">
      <v>46167.475694444445</v>
    </oc>
    <nc r="D27">
      <v>46169.461111111108</v>
    </nc>
  </rcc>
  <rcc rId="141157" sId="1" numFmtId="23">
    <oc r="E27">
      <v>46167.53402777778</v>
    </oc>
    <nc r="E27">
      <v>46169.50277777778</v>
    </nc>
  </rcc>
  <rcc rId="141158" sId="1">
    <oc r="F27" t="inlineStr">
      <is>
        <t>GRU-PUJ-NLU</t>
      </is>
    </oc>
    <nc r="F27" t="inlineStr">
      <is>
        <t>MIA-PUJ-MIA</t>
      </is>
    </nc>
  </rcc>
  <rcc rId="141159" sId="1">
    <oc r="B28" t="inlineStr">
      <is>
        <t>RUTACA AIRLINES</t>
      </is>
    </oc>
    <nc r="B28" t="inlineStr">
      <is>
        <t>ARAJET</t>
      </is>
    </nc>
  </rcc>
  <rcc rId="141160" sId="1">
    <oc r="C28" t="inlineStr">
      <is>
        <t>RUC 2232/2232</t>
      </is>
    </oc>
    <nc r="C28" t="inlineStr">
      <is>
        <t>DWI 6269/6206</t>
      </is>
    </nc>
  </rcc>
  <rcc rId="141161" sId="1" numFmtId="23">
    <oc r="D28">
      <v>46167.479166666664</v>
    </oc>
    <nc r="D28">
      <v>46169.465277777781</v>
    </nc>
  </rcc>
  <rcc rId="141162" sId="1" numFmtId="23">
    <oc r="E28">
      <v>46167.520833333336</v>
    </oc>
    <nc r="E28">
      <v>46169.628472222219</v>
    </nc>
  </rcc>
  <rcc rId="141163" sId="1">
    <oc r="F28" t="inlineStr">
      <is>
        <t>VLN-PUJ-HAV</t>
      </is>
    </oc>
    <nc r="F28" t="inlineStr">
      <is>
        <t>EZE-PUJ-EZE</t>
      </is>
    </nc>
  </rcc>
  <rcc rId="141164" sId="1">
    <oc r="B29" t="inlineStr">
      <is>
        <t>ARAJET</t>
      </is>
    </oc>
    <nc r="B29" t="inlineStr">
      <is>
        <t>AVIANCA</t>
      </is>
    </nc>
  </rcc>
  <rcc rId="141165" sId="1">
    <oc r="C29" t="inlineStr">
      <is>
        <t>DWI 5975/6770</t>
      </is>
    </oc>
    <nc r="C29" t="inlineStr">
      <is>
        <t>AVA 128/129</t>
      </is>
    </nc>
  </rcc>
  <rcc rId="141166" sId="1" numFmtId="23">
    <oc r="D29">
      <v>46167.486111111109</v>
    </oc>
    <nc r="D29">
      <v>46169.475694444445</v>
    </nc>
  </rcc>
  <rcc rId="141167" sId="1" numFmtId="23">
    <oc r="E29">
      <v>46167.82708333333</v>
    </oc>
    <nc r="E29">
      <v>46169.534722222219</v>
    </nc>
  </rcc>
  <rcc rId="141168" sId="1">
    <oc r="F29" t="inlineStr">
      <is>
        <t>YUL-PUJ-LIM</t>
      </is>
    </oc>
    <nc r="F29" t="inlineStr">
      <is>
        <t>BOG-PUJ-BOG</t>
      </is>
    </nc>
  </rcc>
  <rcc rId="141169" sId="1">
    <oc r="B30" t="inlineStr">
      <is>
        <t>DELTA AIRLINES</t>
      </is>
    </oc>
    <nc r="B30" t="inlineStr">
      <is>
        <t>ARAJET</t>
      </is>
    </nc>
  </rcc>
  <rcc rId="141170" sId="1">
    <oc r="C30" t="inlineStr">
      <is>
        <t>DAL 1760/1755</t>
      </is>
    </oc>
    <nc r="C30" t="inlineStr">
      <is>
        <t>DWI 6463/6200</t>
      </is>
    </nc>
  </rcc>
  <rcc rId="141171" sId="1" numFmtId="23">
    <oc r="D30">
      <v>46167.486111111109</v>
    </oc>
    <nc r="D30">
      <v>46169.481249999997</v>
    </nc>
  </rcc>
  <rcc rId="141172" sId="1" numFmtId="23">
    <oc r="E30">
      <v>46167.545138888891</v>
    </oc>
    <nc r="E30">
      <v>46169.53125</v>
    </nc>
  </rcc>
  <rcc rId="141173" sId="1">
    <oc r="F30" t="inlineStr">
      <is>
        <t>ATL-PUJ-ATL</t>
      </is>
    </oc>
    <nc r="F30" t="inlineStr">
      <is>
        <t>COR-PUJ-EZE</t>
      </is>
    </nc>
  </rcc>
  <rcc rId="141174" sId="1">
    <oc r="B31" t="inlineStr">
      <is>
        <t>COPA AIRLINES</t>
      </is>
    </oc>
    <nc r="B31" t="inlineStr">
      <is>
        <t>DELTA AIRLINES</t>
      </is>
    </nc>
  </rcc>
  <rcc rId="141175" sId="1">
    <oc r="C31" t="inlineStr">
      <is>
        <t>CMP 425/426</t>
      </is>
    </oc>
    <nc r="C31" t="inlineStr">
      <is>
        <t>DAL 1760/1755</t>
      </is>
    </nc>
  </rcc>
  <rcc rId="141176" sId="1" numFmtId="23">
    <oc r="D31">
      <v>46167.489583333336</v>
    </oc>
    <nc r="D31">
      <v>46169.486111111109</v>
    </nc>
  </rcc>
  <rcc rId="141177" sId="1" numFmtId="23">
    <oc r="E31">
      <v>46167.53402777778</v>
    </oc>
    <nc r="E31">
      <v>46169.545138888891</v>
    </nc>
  </rcc>
  <rcc rId="141178" sId="1">
    <oc r="F31" t="inlineStr">
      <is>
        <t>PTY-PUJ-PTY</t>
      </is>
    </oc>
    <nc r="F31" t="inlineStr">
      <is>
        <t>ATL-PUJ-ATL</t>
      </is>
    </nc>
  </rcc>
  <rcc rId="141179" sId="1">
    <oc r="B32" t="inlineStr">
      <is>
        <t>AVIANCA</t>
      </is>
    </oc>
    <nc r="B32" t="inlineStr">
      <is>
        <t>JETSMART</t>
      </is>
    </nc>
  </rcc>
  <rcc rId="141180" sId="1">
    <oc r="C32" t="inlineStr">
      <is>
        <t>AVA 220/221</t>
      </is>
    </oc>
    <nc r="C32" t="inlineStr">
      <is>
        <t>JEC 5830/5835</t>
      </is>
    </nc>
  </rcc>
  <rcc rId="141181" sId="1" numFmtId="23">
    <oc r="D32">
      <v>46167.493055555555</v>
    </oc>
    <nc r="D32">
      <v>46169.486111111109</v>
    </nc>
  </rcc>
  <rcc rId="141182" sId="1" numFmtId="23">
    <oc r="E32">
      <v>46167.541666666664</v>
    </oc>
    <nc r="E32">
      <v>46169.520833333336</v>
    </nc>
  </rcc>
  <rcc rId="141183" sId="1">
    <oc r="F32" t="inlineStr">
      <is>
        <t>MDE-PUJ-MDE</t>
      </is>
    </oc>
    <nc r="F32" t="inlineStr">
      <is>
        <t>MDE-PUJ-CLO</t>
      </is>
    </nc>
  </rcc>
  <rcc rId="141184" sId="1">
    <oc r="B33" t="inlineStr">
      <is>
        <t>AIR CANADA</t>
      </is>
    </oc>
    <nc r="B33" t="inlineStr">
      <is>
        <t>ARAJET</t>
      </is>
    </nc>
  </rcc>
  <rcc rId="141185" sId="1">
    <oc r="C33" t="inlineStr">
      <is>
        <t>ACA 1796/1797</t>
      </is>
    </oc>
    <nc r="C33" t="inlineStr">
      <is>
        <t>DWI 5975/1000</t>
      </is>
    </nc>
  </rcc>
  <rcc rId="141186" sId="1" numFmtId="23">
    <oc r="D33">
      <v>46167.496527777781</v>
    </oc>
    <nc r="D33">
      <v>46169.486111111109</v>
    </nc>
  </rcc>
  <rcc rId="141187" sId="1" numFmtId="23">
    <oc r="E33">
      <v>46167.538194444445</v>
    </oc>
    <nc r="E33">
      <v>46169.561805555553</v>
    </nc>
  </rcc>
  <rcc rId="141188" sId="1">
    <oc r="F33" t="inlineStr">
      <is>
        <t>YYZ-PUJ-YYZ</t>
      </is>
    </oc>
    <nc r="F33" t="inlineStr">
      <is>
        <t>YUL-PUJ-SJU</t>
      </is>
    </nc>
  </rcc>
  <rcc rId="141189" sId="1">
    <oc r="B34" t="inlineStr">
      <is>
        <t>ARAJET</t>
      </is>
    </oc>
    <nc r="B34" t="inlineStr">
      <is>
        <t>COPA AIRLINES</t>
      </is>
    </nc>
  </rcc>
  <rcc rId="141190" sId="1">
    <oc r="C34" t="inlineStr">
      <is>
        <t>DWI 6261/6426</t>
      </is>
    </oc>
    <nc r="C34" t="inlineStr">
      <is>
        <t>CMP 425/426</t>
      </is>
    </nc>
  </rcc>
  <rcc rId="141191" sId="1" numFmtId="23">
    <oc r="D34">
      <v>46167.496527777781</v>
    </oc>
    <nc r="D34">
      <v>46169.489583333336</v>
    </nc>
  </rcc>
  <rcc rId="141192" sId="1" numFmtId="23">
    <oc r="E34">
      <v>46167.574999999997</v>
    </oc>
    <nc r="E34">
      <v>46169.53402777778</v>
    </nc>
  </rcc>
  <rcc rId="141193" sId="1">
    <oc r="F34" t="inlineStr">
      <is>
        <t>EZE-PUJ-COR</t>
      </is>
    </oc>
    <nc r="F34" t="inlineStr">
      <is>
        <t>PTY-PUJ-PTY</t>
      </is>
    </nc>
  </rcc>
  <rcc rId="141194" sId="1">
    <oc r="B35" t="inlineStr">
      <is>
        <t>JETBLUE AIRWAYS</t>
      </is>
    </oc>
    <nc r="B35" t="inlineStr">
      <is>
        <t>AVIANCA</t>
      </is>
    </nc>
  </rcc>
  <rcc rId="141195" sId="1">
    <oc r="C35" t="inlineStr">
      <is>
        <t>JBU 169/168</t>
      </is>
    </oc>
    <nc r="C35" t="inlineStr">
      <is>
        <t>AVA 220/221</t>
      </is>
    </nc>
  </rcc>
  <rcc rId="141196" sId="1" numFmtId="23">
    <oc r="D35">
      <v>46167.503472222219</v>
    </oc>
    <nc r="D35">
      <v>46169.493055555555</v>
    </nc>
  </rcc>
  <rcc rId="141197" sId="1" numFmtId="23">
    <oc r="E35">
      <v>46167.559027777781</v>
    </oc>
    <nc r="E35">
      <v>46169.541666666664</v>
    </nc>
  </rcc>
  <rcc rId="141198" sId="1">
    <oc r="F35" t="inlineStr">
      <is>
        <t>JFK-PUJ-JFK</t>
      </is>
    </oc>
    <nc r="F35" t="inlineStr">
      <is>
        <t>MDE-PUJ-MDE</t>
      </is>
    </nc>
  </rcc>
  <rcc rId="141199" sId="1">
    <oc r="B36" t="inlineStr">
      <is>
        <t>JETBLUE AIRWAYS</t>
      </is>
    </oc>
    <nc r="B36" t="inlineStr">
      <is>
        <t>ARAJET</t>
      </is>
    </nc>
  </rcc>
  <rcc rId="141200" sId="1">
    <oc r="C36" t="inlineStr">
      <is>
        <t>JBU 1809/1078</t>
      </is>
    </oc>
    <nc r="C36" t="inlineStr">
      <is>
        <t>DWI 6173/5102</t>
      </is>
    </nc>
  </rcc>
  <rcc rId="141201" sId="1" numFmtId="23">
    <oc r="D36">
      <v>46167.508333333331</v>
    </oc>
    <nc r="D36">
      <v>46169.493055555555</v>
    </nc>
  </rcc>
  <rcc rId="141202" sId="1" numFmtId="23">
    <oc r="E36">
      <v>46167.553472222222</v>
    </oc>
    <nc r="E36">
      <v>46169.542361111111</v>
    </nc>
  </rcc>
  <rcc rId="141203" sId="1">
    <oc r="F36" t="inlineStr">
      <is>
        <t>MCO-PUJ-MCO</t>
      </is>
    </oc>
    <nc r="F36" t="inlineStr">
      <is>
        <t>SCL-PUJ-MIA</t>
      </is>
    </nc>
  </rcc>
  <rcc rId="141204" sId="1">
    <oc r="B37" t="inlineStr">
      <is>
        <t>UNITED AIRLINES</t>
      </is>
    </oc>
    <nc r="B37" t="inlineStr">
      <is>
        <t>ARAJET</t>
      </is>
    </nc>
  </rcc>
  <rcc rId="141205" sId="1">
    <oc r="C37" t="inlineStr">
      <is>
        <t>UAL 1514/1698</t>
      </is>
    </oc>
    <nc r="C37" t="inlineStr">
      <is>
        <t>DWI 6261/7002</t>
      </is>
    </nc>
  </rcc>
  <rcc rId="141206" sId="1" numFmtId="23">
    <oc r="D37">
      <v>46167.510416666664</v>
    </oc>
    <nc r="D37">
      <v>46169.496527777781</v>
    </nc>
  </rcc>
  <rcc rId="141207" sId="1" numFmtId="23">
    <oc r="E37">
      <v>46167.559027777781</v>
    </oc>
    <nc r="E37">
      <v>46169.553472222222</v>
    </nc>
  </rcc>
  <rcc rId="141208" sId="1">
    <oc r="F37" t="inlineStr">
      <is>
        <t>EWR-PUJ-DEN</t>
      </is>
    </oc>
    <nc r="F37" t="inlineStr">
      <is>
        <t>EZE-PUJ-CUN</t>
      </is>
    </nc>
  </rcc>
  <rcc rId="141209" sId="1">
    <oc r="B38" t="inlineStr">
      <is>
        <t>COPA AIRLINES</t>
      </is>
    </oc>
    <nc r="B38" t="inlineStr">
      <is>
        <t>ARAJET</t>
      </is>
    </nc>
  </rcc>
  <rcc rId="141210" sId="1">
    <oc r="C38" t="inlineStr">
      <is>
        <t>CMP 321/327</t>
      </is>
    </oc>
    <nc r="C38" t="inlineStr">
      <is>
        <t>DWI 801/7100</t>
      </is>
    </nc>
  </rcc>
  <rcc rId="141211" sId="1" numFmtId="23">
    <oc r="D38">
      <v>46167.513194444444</v>
    </oc>
    <nc r="D38">
      <v>46169.5</v>
    </nc>
  </rcc>
  <rcc rId="141212" sId="1" numFmtId="23">
    <oc r="E38">
      <v>46167.5625</v>
    </oc>
    <nc r="E38">
      <v>46169.541666666664</v>
    </nc>
  </rcc>
  <rcc rId="141213" sId="1">
    <oc r="F38" t="inlineStr">
      <is>
        <t>PTY-PUJ-PTY</t>
      </is>
    </oc>
    <nc r="F38" t="inlineStr">
      <is>
        <t>KIN-PUJ-NLU</t>
      </is>
    </nc>
  </rcc>
  <rcc rId="141214" sId="1">
    <oc r="B39" t="inlineStr">
      <is>
        <t>DELTA AIRLINES</t>
      </is>
    </oc>
    <nc r="B39" t="inlineStr">
      <is>
        <t>JETBLUE AIRWAYS</t>
      </is>
    </nc>
  </rcc>
  <rcc rId="141215" sId="1">
    <oc r="C39" t="inlineStr">
      <is>
        <t>DAL 1994/1833</t>
      </is>
    </oc>
    <nc r="C39" t="inlineStr">
      <is>
        <t>JBU 169/168</t>
      </is>
    </nc>
  </rcc>
  <rcc rId="141216" sId="1" numFmtId="23">
    <oc r="D39">
      <v>46167.515972222223</v>
    </oc>
    <nc r="D39">
      <v>46169.503472222219</v>
    </nc>
  </rcc>
  <rcc rId="141217" sId="1" numFmtId="23">
    <oc r="E39">
      <v>46167.574999999997</v>
    </oc>
    <nc r="E39">
      <v>46169.559027777781</v>
    </nc>
  </rcc>
  <rcc rId="141218" sId="1">
    <oc r="C40" t="inlineStr">
      <is>
        <t>JBU 1731/1632</t>
      </is>
    </oc>
    <nc r="C40" t="inlineStr">
      <is>
        <t>JBU 1809/1078</t>
      </is>
    </nc>
  </rcc>
  <rcc rId="141219" sId="1" numFmtId="23">
    <oc r="D40">
      <v>46167.520138888889</v>
    </oc>
    <nc r="D40">
      <v>46169.508333333331</v>
    </nc>
  </rcc>
  <rcc rId="141220" sId="1" numFmtId="23">
    <oc r="E40">
      <v>46167.56527777778</v>
    </oc>
    <nc r="E40">
      <v>46169.553472222222</v>
    </nc>
  </rcc>
  <rcc rId="141221" sId="1">
    <oc r="F40" t="inlineStr">
      <is>
        <t>SJU-PUJ-SJU</t>
      </is>
    </oc>
    <nc r="F40" t="inlineStr">
      <is>
        <t>MCO-PUJ-MCO</t>
      </is>
    </nc>
  </rcc>
  <rcc rId="141222" sId="1">
    <oc r="B41" t="inlineStr">
      <is>
        <t>SOUTHWEST AIRLINES</t>
      </is>
    </oc>
    <nc r="B41" t="inlineStr">
      <is>
        <t>UNITED AIRLINES</t>
      </is>
    </nc>
  </rcc>
  <rcc rId="141223" sId="1">
    <oc r="C41" t="inlineStr">
      <is>
        <t>SWA 811/812</t>
      </is>
    </oc>
    <nc r="C41" t="inlineStr">
      <is>
        <t>UAL 1514/1698</t>
      </is>
    </nc>
  </rcc>
  <rcc rId="141224" sId="1" numFmtId="23">
    <oc r="D41">
      <v>46167.527777777781</v>
    </oc>
    <nc r="D41">
      <v>46169.510416666664</v>
    </nc>
  </rcc>
  <rcc rId="141225" sId="1" numFmtId="23">
    <oc r="E41">
      <v>46167.569444444445</v>
    </oc>
    <nc r="E41">
      <v>46169.559027777781</v>
    </nc>
  </rcc>
  <rcc rId="141226" sId="1">
    <oc r="F41" t="inlineStr">
      <is>
        <t>BWI-PUJ-BWI</t>
      </is>
    </oc>
    <nc r="F41" t="inlineStr">
      <is>
        <t>EWR-PUJ-DEN</t>
      </is>
    </nc>
  </rcc>
  <rcc rId="141227" sId="1">
    <oc r="B42" t="inlineStr">
      <is>
        <t>UNITED AIRLINES</t>
      </is>
    </oc>
    <nc r="B42" t="inlineStr">
      <is>
        <t>COPA AIRLINES</t>
      </is>
    </nc>
  </rcc>
  <rcc rId="141228" sId="1">
    <oc r="C42" t="inlineStr">
      <is>
        <t>UAL 1661/1664</t>
      </is>
    </oc>
    <nc r="C42" t="inlineStr">
      <is>
        <t>CMP 321/327</t>
      </is>
    </nc>
  </rcc>
  <rcc rId="141229" sId="1" numFmtId="23">
    <oc r="D42">
      <v>46167.527777777781</v>
    </oc>
    <nc r="D42">
      <v>46169.513194444444</v>
    </nc>
  </rcc>
  <rcc rId="141230" sId="1" numFmtId="23">
    <oc r="E42">
      <v>46167.576388888891</v>
    </oc>
    <nc r="E42">
      <v>46169.5625</v>
    </nc>
  </rcc>
  <rcc rId="141231" sId="1">
    <oc r="F42" t="inlineStr">
      <is>
        <t>IAD-PUJ-ORD</t>
      </is>
    </oc>
    <nc r="F42" t="inlineStr">
      <is>
        <t>PTY-PUJ-PTY</t>
      </is>
    </nc>
  </rcc>
  <rcc rId="141232" sId="1">
    <oc r="B43" t="inlineStr">
      <is>
        <t>WESTJET AIRLINES</t>
      </is>
    </oc>
    <nc r="B43" t="inlineStr">
      <is>
        <t>DELTA AIRLINES</t>
      </is>
    </nc>
  </rcc>
  <rcc rId="141233" sId="1">
    <oc r="C43" t="inlineStr">
      <is>
        <t>WJA 2902/2903</t>
      </is>
    </oc>
    <nc r="C43" t="inlineStr">
      <is>
        <t>DAL 1994/1833</t>
      </is>
    </nc>
  </rcc>
  <rcc rId="141234" sId="1" numFmtId="23">
    <oc r="D43">
      <v>46167.527777777781</v>
    </oc>
    <nc r="D43">
      <v>46169.515972222223</v>
    </nc>
  </rcc>
  <rcc rId="141235" sId="1" numFmtId="23">
    <oc r="E43">
      <v>46167.565972222219</v>
    </oc>
    <nc r="E43">
      <v>46169.574999999997</v>
    </nc>
  </rcc>
  <rcc rId="141236" sId="1">
    <oc r="F43" t="inlineStr">
      <is>
        <t>YUL-PUJ-YUL</t>
      </is>
    </oc>
    <nc r="F43" t="inlineStr">
      <is>
        <t>JFK-PUJ-JFK</t>
      </is>
    </nc>
  </rcc>
  <rcc rId="141237" sId="1">
    <oc r="B44" t="inlineStr">
      <is>
        <t>COPA AIRLINES</t>
      </is>
    </oc>
    <nc r="B44" t="inlineStr">
      <is>
        <t>JETBLUE AIRWAYS</t>
      </is>
    </nc>
  </rcc>
  <rcc rId="141238" sId="1">
    <oc r="C44" t="inlineStr">
      <is>
        <t>CMP 241/242</t>
      </is>
    </oc>
    <nc r="C44" t="inlineStr">
      <is>
        <t>JBU 1731/1632</t>
      </is>
    </nc>
  </rcc>
  <rcc rId="141239" sId="1" numFmtId="23">
    <oc r="D44">
      <v>46167.530555555553</v>
    </oc>
    <nc r="D44">
      <v>46169.520138888889</v>
    </nc>
  </rcc>
  <rcc rId="141240" sId="1" numFmtId="23">
    <oc r="E44">
      <v>46167.57916666667</v>
    </oc>
    <nc r="E44">
      <v>46169.56527777778</v>
    </nc>
  </rcc>
  <rcc rId="141241" sId="1">
    <oc r="F44" t="inlineStr">
      <is>
        <t>PTY-PUJ-PTY</t>
      </is>
    </oc>
    <nc r="F44" t="inlineStr">
      <is>
        <t>SJU-PUJ-SJU</t>
      </is>
    </nc>
  </rcc>
  <rcc rId="141242" sId="1">
    <oc r="B45" t="inlineStr">
      <is>
        <t>AMERICAN AIRLINES</t>
      </is>
    </oc>
    <nc r="B45" t="inlineStr">
      <is>
        <t>SOUTHWEST AIRLINES</t>
      </is>
    </nc>
  </rcc>
  <rcc rId="141243" sId="1">
    <oc r="C45" t="inlineStr">
      <is>
        <t>AAL 1179/1179</t>
      </is>
    </oc>
    <nc r="C45" t="inlineStr">
      <is>
        <t>SWA 811/812</t>
      </is>
    </nc>
  </rcc>
  <rcc rId="141244" sId="1" numFmtId="23">
    <oc r="D45">
      <v>46167.533333333333</v>
    </oc>
    <nc r="D45">
      <v>46169.527777777781</v>
    </nc>
  </rcc>
  <rcc rId="141245" sId="1" numFmtId="23">
    <oc r="E45">
      <v>46167.578472222223</v>
    </oc>
    <nc r="E45">
      <v>46169.569444444445</v>
    </nc>
  </rcc>
  <rcc rId="141246" sId="1">
    <oc r="F45" t="inlineStr">
      <is>
        <t>CLT-PUJ-CLT</t>
      </is>
    </oc>
    <nc r="F45" t="inlineStr">
      <is>
        <t>BWI-PUJ-BWI</t>
      </is>
    </nc>
  </rcc>
  <rcc rId="141247" sId="1">
    <oc r="B46" t="inlineStr">
      <is>
        <t>AMERICAN AIRLINES</t>
      </is>
    </oc>
    <nc r="B46" t="inlineStr">
      <is>
        <t>WESTJET AIRLINES</t>
      </is>
    </nc>
  </rcc>
  <rcc rId="141248" sId="1">
    <oc r="C46" t="inlineStr">
      <is>
        <t>AAL 2419/1245</t>
      </is>
    </oc>
    <nc r="C46" t="inlineStr">
      <is>
        <t>WJA 2902/2903</t>
      </is>
    </nc>
  </rcc>
  <rcc rId="141249" sId="1" numFmtId="23">
    <oc r="D46">
      <v>46167.536111111112</v>
    </oc>
    <nc r="D46">
      <v>46169.527777777781</v>
    </nc>
  </rcc>
  <rcc rId="141250" sId="1" numFmtId="23">
    <oc r="E46">
      <v>46167.577777777777</v>
    </oc>
    <nc r="E46">
      <v>46169.565972222219</v>
    </nc>
  </rcc>
  <rcc rId="141251" sId="1">
    <oc r="F46" t="inlineStr">
      <is>
        <t>MIA-PUJ-MIA</t>
      </is>
    </oc>
    <nc r="F46" t="inlineStr">
      <is>
        <t>YUL-PUJ-YUL</t>
      </is>
    </nc>
  </rcc>
  <rcc rId="141252" sId="1">
    <oc r="B47" t="inlineStr">
      <is>
        <t>ARAJET</t>
      </is>
    </oc>
    <nc r="B47" t="inlineStr">
      <is>
        <t>UNITED AIRLINES</t>
      </is>
    </nc>
  </rcc>
  <rcc rId="141253" sId="1">
    <oc r="C47" t="inlineStr">
      <is>
        <t>DWI 6361/6020</t>
      </is>
    </oc>
    <nc r="C47" t="inlineStr">
      <is>
        <t>UAL 1661/1664</t>
      </is>
    </nc>
  </rcc>
  <rcc rId="141254" sId="1" numFmtId="23">
    <oc r="D47">
      <v>46167.538194444445</v>
    </oc>
    <nc r="D47">
      <v>46169.527777777781</v>
    </nc>
  </rcc>
  <rcc rId="141255" sId="1" numFmtId="23">
    <oc r="E47">
      <v>46167.59375</v>
    </oc>
    <nc r="E47">
      <v>46169.576388888891</v>
    </nc>
  </rcc>
  <rcc rId="141256" sId="1">
    <oc r="F47" t="inlineStr">
      <is>
        <t>MDZ-PUJ-GRU</t>
      </is>
    </oc>
    <nc r="F47" t="inlineStr">
      <is>
        <t>IAD-PUJ-ORD</t>
      </is>
    </nc>
  </rcc>
  <rcc rId="141257" sId="1">
    <oc r="B48" t="inlineStr">
      <is>
        <t>FRONTIER AIRLINES</t>
      </is>
    </oc>
    <nc r="B48" t="inlineStr">
      <is>
        <t>COPA AIRLINES</t>
      </is>
    </nc>
  </rcc>
  <rcc rId="141258" sId="1">
    <oc r="C48" t="inlineStr">
      <is>
        <t>FFT 9022/24</t>
      </is>
    </oc>
    <nc r="C48" t="inlineStr">
      <is>
        <t>CMP 241/242</t>
      </is>
    </nc>
  </rcc>
  <rcc rId="141259" sId="1" numFmtId="23">
    <oc r="D48">
      <v>46167.538888888892</v>
    </oc>
    <nc r="D48">
      <v>46169.530555555553</v>
    </nc>
  </rcc>
  <rcc rId="141260" sId="1" numFmtId="23">
    <oc r="E48">
      <v>46167.594444444447</v>
    </oc>
    <nc r="E48">
      <v>46169.57916666667</v>
    </nc>
  </rcc>
  <rcc rId="141261" sId="1">
    <oc r="F48" t="inlineStr">
      <is>
        <t>MSY-PUJ-ATL</t>
      </is>
    </oc>
    <nc r="F48" t="inlineStr">
      <is>
        <t>PTY-PUJ-PTY</t>
      </is>
    </nc>
  </rcc>
  <rcc rId="141262" sId="1">
    <oc r="B49" t="inlineStr">
      <is>
        <t>JETSMART</t>
      </is>
    </oc>
    <nc r="B49" t="inlineStr">
      <is>
        <t>AMERICAN AIRLINES</t>
      </is>
    </nc>
  </rcc>
  <rcc rId="141263" sId="1">
    <oc r="C49" t="inlineStr">
      <is>
        <t>JEC 5834/5831</t>
      </is>
    </oc>
    <nc r="C49" t="inlineStr">
      <is>
        <t>AAL 1179/1179</t>
      </is>
    </nc>
  </rcc>
  <rcc rId="141264" sId="1" numFmtId="23">
    <oc r="D49">
      <v>46167.541666666664</v>
    </oc>
    <nc r="D49">
      <v>46169.533333333333</v>
    </nc>
  </rcc>
  <rcc rId="141265" sId="1" numFmtId="23">
    <oc r="E49">
      <v>46167.576388888891</v>
    </oc>
    <nc r="E49">
      <v>46169.578472222223</v>
    </nc>
  </rcc>
  <rcc rId="141266" sId="1">
    <oc r="F49" t="inlineStr">
      <is>
        <t>CLO-PUJ-MDE</t>
      </is>
    </oc>
    <nc r="F49" t="inlineStr">
      <is>
        <t>CLT-PUJ-CLT</t>
      </is>
    </nc>
  </rcc>
  <rcc rId="141267" sId="1">
    <oc r="B50" t="inlineStr">
      <is>
        <t>GLOBAL AIR X</t>
      </is>
    </oc>
    <nc r="B50" t="inlineStr">
      <is>
        <t>AMERICAN AIRLINES</t>
      </is>
    </nc>
  </rcc>
  <rcc rId="141268" sId="1">
    <oc r="C50" t="inlineStr">
      <is>
        <t>GXA 6203/6204</t>
      </is>
    </oc>
    <nc r="C50" t="inlineStr">
      <is>
        <t>AAL 2419/1245</t>
      </is>
    </nc>
  </rcc>
  <rcc rId="141269" sId="1" numFmtId="23">
    <oc r="D50">
      <v>46167.541666666664</v>
    </oc>
    <nc r="D50">
      <v>46169.536111111112</v>
    </nc>
  </rcc>
  <rcc rId="141270" sId="1" numFmtId="23">
    <oc r="E50">
      <v>46167.583333333336</v>
    </oc>
    <nc r="E50">
      <v>46169.577777777777</v>
    </nc>
  </rcc>
  <rcc rId="141271" sId="1">
    <oc r="F50" t="inlineStr">
      <is>
        <t>SJU-PUJ-SJU</t>
      </is>
    </oc>
    <nc r="F50" t="inlineStr">
      <is>
        <t>MIA-PUJ-MIA</t>
      </is>
    </nc>
  </rcc>
  <rcc rId="141272" sId="1">
    <oc r="B51" t="inlineStr">
      <is>
        <t>SOUTHWEST AIRLINES</t>
      </is>
    </oc>
    <nc r="B51" t="inlineStr">
      <is>
        <t>WINGO</t>
      </is>
    </nc>
  </rcc>
  <rcc rId="141273" sId="1">
    <oc r="C51" t="inlineStr">
      <is>
        <t>SWA 782/783</t>
      </is>
    </oc>
    <nc r="C51" t="inlineStr">
      <is>
        <t>RPB 7026/7027</t>
      </is>
    </nc>
  </rcc>
  <rcc rId="141274" sId="1" numFmtId="23">
    <oc r="D51">
      <v>46167.545138888891</v>
    </oc>
    <nc r="D51">
      <v>46169.538194444445</v>
    </nc>
  </rcc>
  <rcc rId="141275" sId="1" numFmtId="23">
    <oc r="E51">
      <v>46167.586805555555</v>
    </oc>
    <nc r="E51">
      <v>46169.570833333331</v>
    </nc>
  </rcc>
  <rcc rId="141276" sId="1">
    <oc r="F51" t="inlineStr">
      <is>
        <t>MCO-PUJ-MCO</t>
      </is>
    </oc>
    <nc r="F51" t="inlineStr">
      <is>
        <t>BOG-PUJ-BOG</t>
      </is>
    </nc>
  </rcc>
  <rcc rId="141277" sId="1">
    <oc r="B52" t="inlineStr">
      <is>
        <t>ARAJET</t>
      </is>
    </oc>
    <nc r="B52" t="inlineStr">
      <is>
        <t>AIR CANADA CARGO</t>
      </is>
    </nc>
  </rcc>
  <rcc rId="141278" sId="1">
    <oc r="C52" t="inlineStr">
      <is>
        <t>DWI 6269/6206</t>
      </is>
    </oc>
    <nc r="C52" t="inlineStr">
      <is>
        <t>ACAC 7264/7264</t>
      </is>
    </nc>
  </rcc>
  <rcc rId="141279" sId="1" numFmtId="23">
    <oc r="D52">
      <v>46167.548611111109</v>
    </oc>
    <nc r="D52">
      <v>46169.538194444445</v>
    </nc>
  </rcc>
  <rcc rId="141280" sId="1" numFmtId="23">
    <oc r="E52">
      <v>46167.628472222219</v>
    </oc>
    <nc r="E52">
      <v>46169.600694444445</v>
    </nc>
  </rcc>
  <rcc rId="141281" sId="1">
    <oc r="F52" t="inlineStr">
      <is>
        <t>EZE-PUJ-EZE</t>
      </is>
    </oc>
    <nc r="F52" t="inlineStr">
      <is>
        <t>YYZ-PUJ-BOG</t>
      </is>
    </nc>
  </rcc>
  <rcc rId="141282" sId="1">
    <oc r="B53" t="inlineStr">
      <is>
        <t>ARAJET</t>
      </is>
    </oc>
    <nc r="B53" t="inlineStr">
      <is>
        <t>SOUTHWEST AIRLINES</t>
      </is>
    </nc>
  </rcc>
  <rcc rId="141283" sId="1">
    <oc r="C53" t="inlineStr">
      <is>
        <t>DWI 6173/5100</t>
      </is>
    </oc>
    <nc r="C53" t="inlineStr">
      <is>
        <t>SWA 782/783</t>
      </is>
    </nc>
  </rcc>
  <rcc rId="141284" sId="1" numFmtId="23">
    <oc r="D53">
      <v>46167.552083333336</v>
    </oc>
    <nc r="D53">
      <v>46169.545138888891</v>
    </nc>
  </rcc>
  <rcc rId="141285" sId="1" numFmtId="23">
    <oc r="E53">
      <v>46167.60833333333</v>
    </oc>
    <nc r="E53">
      <v>46169.586805555555</v>
    </nc>
  </rcc>
  <rcc rId="141286" sId="1">
    <oc r="F53" t="inlineStr">
      <is>
        <t>SCL-PUJ-MIA</t>
      </is>
    </oc>
    <nc r="F53" t="inlineStr">
      <is>
        <t>MCO-PUJ-MCO</t>
      </is>
    </nc>
  </rcc>
  <rcc rId="141287" sId="1" numFmtId="23">
    <oc r="D54">
      <v>46167.559027777781</v>
    </oc>
    <nc r="D54">
      <v>46169.559027777781</v>
    </nc>
  </rcc>
  <rcc rId="141288" sId="1" numFmtId="23">
    <oc r="E54">
      <v>46167.614583333336</v>
    </oc>
    <nc r="E54">
      <v>46169.614583333336</v>
    </nc>
  </rcc>
  <rcc rId="141289" sId="1" numFmtId="23">
    <oc r="D55">
      <v>46167.559027777781</v>
    </oc>
    <nc r="D55">
      <v>46169.559027777781</v>
    </nc>
  </rcc>
  <rcc rId="141290" sId="1" numFmtId="23">
    <oc r="E55">
      <v>46167.618055555555</v>
    </oc>
    <nc r="E55">
      <v>46169.618055555555</v>
    </nc>
  </rcc>
  <rcc rId="141291" sId="1">
    <oc r="B56" t="inlineStr">
      <is>
        <t>ARAJET</t>
      </is>
    </oc>
    <nc r="B56" t="inlineStr">
      <is>
        <t>WESTJET AIRLINES</t>
      </is>
    </nc>
  </rcc>
  <rcc rId="141292" sId="1">
    <oc r="C56" t="inlineStr">
      <is>
        <t>DWI 6463/7002</t>
      </is>
    </oc>
    <nc r="C56" t="inlineStr">
      <is>
        <t>WJA 2916/2917</t>
      </is>
    </nc>
  </rcc>
  <rcc rId="141293" sId="1" numFmtId="23">
    <oc r="D56">
      <v>46167.561111111114</v>
    </oc>
    <nc r="D56">
      <v>46169.569444444445</v>
    </nc>
  </rcc>
  <rcc rId="141294" sId="1" numFmtId="23">
    <oc r="E56">
      <v>46167.621527777781</v>
    </oc>
    <nc r="E56">
      <v>46169.607638888891</v>
    </nc>
  </rcc>
  <rcc rId="141295" sId="1">
    <oc r="F56" t="inlineStr">
      <is>
        <t>COR-PUJ-CUN</t>
      </is>
    </oc>
    <nc r="F56" t="inlineStr">
      <is>
        <t>YUL-PUJ-YUL</t>
      </is>
    </nc>
  </rcc>
  <rcc rId="141296" sId="1" numFmtId="23">
    <oc r="D57">
      <v>46167.570833333331</v>
    </oc>
    <nc r="D57">
      <v>46169.570833333331</v>
    </nc>
  </rcc>
  <rcc rId="141297" sId="1" numFmtId="23">
    <oc r="E57">
      <v>46167.615972222222</v>
    </oc>
    <nc r="E57">
      <v>46169.615972222222</v>
    </nc>
  </rcc>
  <rcc rId="141298" sId="1">
    <oc r="B58" t="inlineStr">
      <is>
        <t>JETBLUE AIRWAYS</t>
      </is>
    </oc>
    <nc r="B58" t="inlineStr">
      <is>
        <t>AIR TRANSAT</t>
      </is>
    </nc>
  </rcc>
  <rcc rId="141299" sId="1">
    <oc r="C58" t="inlineStr">
      <is>
        <t>JBU 1015/2374</t>
      </is>
    </oc>
    <nc r="C58" t="inlineStr">
      <is>
        <t>TSC 398/399</t>
      </is>
    </nc>
  </rcc>
  <rcc rId="141300" sId="1" numFmtId="23">
    <oc r="D58">
      <v>46167.572916666664</v>
    </oc>
    <nc r="D58">
      <v>46169.572916666664</v>
    </nc>
  </rcc>
  <rcc rId="141301" sId="1" numFmtId="23">
    <oc r="E58">
      <v>46167.618055555555</v>
    </oc>
    <nc r="E58">
      <v>46169.628472222219</v>
    </nc>
  </rcc>
  <rcc rId="141302" sId="1">
    <oc r="F58" t="inlineStr">
      <is>
        <t>EWR-PUJ-FLL</t>
      </is>
    </oc>
    <nc r="F58" t="inlineStr">
      <is>
        <t>YUL-PUJ-YUL</t>
      </is>
    </nc>
  </rcc>
  <rcc rId="141303" sId="1">
    <oc r="B59" t="inlineStr">
      <is>
        <t>AIR TRANSAT</t>
      </is>
    </oc>
    <nc r="B59" t="inlineStr">
      <is>
        <t>JETBLUE AIRWAYS</t>
      </is>
    </nc>
  </rcc>
  <rcc rId="141304" sId="1">
    <oc r="C59" t="inlineStr">
      <is>
        <t>TSC 398/399</t>
      </is>
    </oc>
    <nc r="C59" t="inlineStr">
      <is>
        <t>JBU 1015/2374</t>
      </is>
    </nc>
  </rcc>
  <rcc rId="141305" sId="1" numFmtId="23">
    <oc r="D59">
      <v>46167.572916666664</v>
    </oc>
    <nc r="D59">
      <v>46169.572916666664</v>
    </nc>
  </rcc>
  <rcc rId="141306" sId="1" numFmtId="23">
    <oc r="E59">
      <v>46167.628472222219</v>
    </oc>
    <nc r="E59">
      <v>46169.618055555555</v>
    </nc>
  </rcc>
  <rcc rId="141307" sId="1">
    <oc r="F59" t="inlineStr">
      <is>
        <t>YUL-PUJ-YUL</t>
      </is>
    </oc>
    <nc r="F59" t="inlineStr">
      <is>
        <t>EWR-PUJ-FLL</t>
      </is>
    </nc>
  </rcc>
  <rcc rId="141308" sId="1">
    <oc r="B60" t="inlineStr">
      <is>
        <t>ARAJET</t>
      </is>
    </oc>
    <nc r="B60" t="inlineStr">
      <is>
        <t>JETBLUE AIRWAYS</t>
      </is>
    </nc>
  </rcc>
  <rcc rId="141309" sId="1">
    <oc r="C60" t="inlineStr">
      <is>
        <t>DWI 1501/1081</t>
      </is>
    </oc>
    <nc r="C60" t="inlineStr">
      <is>
        <t>JBU 173/1016</t>
      </is>
    </nc>
  </rcc>
  <rcc rId="141310" sId="1" numFmtId="23">
    <oc r="D60">
      <v>46167.576388888891</v>
    </oc>
    <nc r="D60">
      <v>46169.579861111109</v>
    </nc>
  </rcc>
  <rcc rId="141311" sId="1" numFmtId="23">
    <oc r="E60">
      <v>46167.648611111108</v>
    </oc>
    <nc r="E60">
      <v>46169.625</v>
    </nc>
  </rcc>
  <rcc rId="141312" sId="1">
    <oc r="F60" t="inlineStr">
      <is>
        <t>BOG-PUJ-SDQ</t>
      </is>
    </oc>
    <nc r="F60" t="inlineStr">
      <is>
        <t>FLL-PUJ-EWR</t>
      </is>
    </nc>
  </rcc>
  <rcc rId="141313" sId="1">
    <oc r="B61" t="inlineStr">
      <is>
        <t>JETBLUE AIRWAYS</t>
      </is>
    </oc>
    <nc r="B61" t="inlineStr">
      <is>
        <t>AIR CANADA</t>
      </is>
    </nc>
  </rcc>
  <rcc rId="141314" sId="1">
    <oc r="C61" t="inlineStr">
      <is>
        <t>JBU 173/1016</t>
      </is>
    </oc>
    <nc r="C61" t="inlineStr">
      <is>
        <t>ACA 1790/1791</t>
      </is>
    </nc>
  </rcc>
  <rcc rId="141315" sId="1" numFmtId="23">
    <oc r="D61">
      <v>46167.579861111109</v>
    </oc>
    <nc r="D61">
      <v>46169.579861111109</v>
    </nc>
  </rcc>
  <rcc rId="141316" sId="1" numFmtId="23">
    <oc r="E61">
      <v>46167.625</v>
    </oc>
    <nc r="E61">
      <v>46169.621527777781</v>
    </nc>
  </rcc>
  <rcc rId="141317" sId="1">
    <oc r="F61" t="inlineStr">
      <is>
        <t>FLL-PUJ-EWR</t>
      </is>
    </oc>
    <nc r="F61" t="inlineStr">
      <is>
        <t>YUL-PUJ-YUL</t>
      </is>
    </nc>
  </rcc>
  <rcc rId="141318" sId="1">
    <oc r="B62" t="inlineStr">
      <is>
        <t>AIR CANADA</t>
      </is>
    </oc>
    <nc r="B62" t="inlineStr">
      <is>
        <t>COPA AIRLINES</t>
      </is>
    </nc>
  </rcc>
  <rcc rId="141319" sId="1">
    <oc r="C62" t="inlineStr">
      <is>
        <t>ACA 1790/1791</t>
      </is>
    </oc>
    <nc r="C62" t="inlineStr">
      <is>
        <t>CMP 375/376</t>
      </is>
    </nc>
  </rcc>
  <rcc rId="141320" sId="1" numFmtId="23">
    <oc r="D62">
      <v>46167.579861111109</v>
    </oc>
    <nc r="D62">
      <v>46169.583333333336</v>
    </nc>
  </rcc>
  <rcc rId="141321" sId="1" numFmtId="23">
    <oc r="E62">
      <v>46167.621527777781</v>
    </oc>
    <nc r="E62">
      <v>46169.631944444445</v>
    </nc>
  </rcc>
  <rcc rId="141322" sId="1">
    <oc r="F62" t="inlineStr">
      <is>
        <t>YUL-PUJ-YUL</t>
      </is>
    </oc>
    <nc r="F62" t="inlineStr">
      <is>
        <t>PTY-PUJ-PTY</t>
      </is>
    </nc>
  </rcc>
  <rcc rId="141323" sId="1">
    <oc r="B63" t="inlineStr">
      <is>
        <t>SUN COUNTRY AIRLINES</t>
      </is>
    </oc>
    <nc r="B63" t="inlineStr">
      <is>
        <t>WESTJET AIRLINES</t>
      </is>
    </nc>
  </rcc>
  <rcc rId="141324" sId="1">
    <oc r="C63" t="inlineStr">
      <is>
        <t>SCX 739/740</t>
      </is>
    </oc>
    <nc r="C63" t="inlineStr">
      <is>
        <t>WJA 2100/2101</t>
      </is>
    </nc>
  </rcc>
  <rcc rId="141325" sId="1" numFmtId="23">
    <oc r="D63">
      <v>46167.582638888889</v>
    </oc>
    <nc r="D63">
      <v>46169.586805555555</v>
    </nc>
  </rcc>
  <rcc rId="141326" sId="1" numFmtId="23">
    <oc r="E63">
      <v>46167.625</v>
    </oc>
    <nc r="E63">
      <v>46169.625</v>
    </nc>
  </rcc>
  <rcc rId="141327" sId="1">
    <oc r="F63" t="inlineStr">
      <is>
        <t>DFW-PUJ-DFW</t>
      </is>
    </oc>
    <nc r="F63" t="inlineStr">
      <is>
        <t>YYZ-PUJ-YYZ</t>
      </is>
    </nc>
  </rcc>
  <rcc rId="141328" sId="1">
    <oc r="B64" t="inlineStr">
      <is>
        <t>COPA AIRLINES</t>
      </is>
    </oc>
    <nc r="B64" t="inlineStr">
      <is>
        <t>LAN PERU</t>
      </is>
    </nc>
  </rcc>
  <rcc rId="141329" sId="1">
    <oc r="C64" t="inlineStr">
      <is>
        <t>CMP 375/376</t>
      </is>
    </oc>
    <nc r="C64" t="inlineStr">
      <is>
        <t>LPE 2470/2475</t>
      </is>
    </nc>
  </rcc>
  <rcc rId="141330" sId="1" numFmtId="23">
    <oc r="D64">
      <v>46167.583333333336</v>
    </oc>
    <nc r="D64">
      <v>46169.590277777781</v>
    </nc>
  </rcc>
  <rcc rId="141331" sId="1" numFmtId="23">
    <oc r="E64">
      <v>46167.631944444445</v>
    </oc>
    <nc r="E64">
      <v>46169.635416666664</v>
    </nc>
  </rcc>
  <rcc rId="141332" sId="1">
    <oc r="F64" t="inlineStr">
      <is>
        <t>PTY-PUJ-PTY</t>
      </is>
    </oc>
    <nc r="F64" t="inlineStr">
      <is>
        <t>LIM-PUJ-LIM</t>
      </is>
    </nc>
  </rcc>
  <rcc rId="141333" sId="1">
    <oc r="B65" t="inlineStr">
      <is>
        <t>BRITISH AIRWAYS</t>
      </is>
    </oc>
    <nc r="B65" t="inlineStr">
      <is>
        <t>AMERICAN AIRLINES</t>
      </is>
    </nc>
  </rcc>
  <rcc rId="141334" sId="1">
    <oc r="C65" t="inlineStr">
      <is>
        <t>BAW 2205/2204</t>
      </is>
    </oc>
    <nc r="C65" t="inlineStr">
      <is>
        <t>AAL 2841/619</t>
      </is>
    </nc>
  </rcc>
  <rcc rId="141335" sId="1" numFmtId="23">
    <oc r="D65">
      <v>46167.590277777781</v>
    </oc>
    <nc r="D65">
      <v>46169.59097222222</v>
    </nc>
  </rcc>
  <rcc rId="141336" sId="1" numFmtId="23">
    <oc r="E65">
      <v>46167.697916666664</v>
    </oc>
    <nc r="E65">
      <v>46169.635416666664</v>
    </nc>
  </rcc>
  <rcc rId="141337" sId="1">
    <oc r="F65" t="inlineStr">
      <is>
        <t>LGW-PUJ-LGW</t>
      </is>
    </oc>
    <nc r="F65" t="inlineStr">
      <is>
        <t>ORD-PUJ-ORD</t>
      </is>
    </nc>
  </rcc>
  <rcc rId="141338" sId="1">
    <oc r="B66" t="inlineStr">
      <is>
        <t>AMERICAN AIRLINES</t>
      </is>
    </oc>
    <nc r="B66" t="inlineStr">
      <is>
        <t>SOUTHWEST AIRLINES</t>
      </is>
    </nc>
  </rcc>
  <rcc rId="141339" sId="1">
    <oc r="C66" t="inlineStr">
      <is>
        <t>AAL 2841/619</t>
      </is>
    </oc>
    <nc r="C66" t="inlineStr">
      <is>
        <t>SWA 821/822</t>
      </is>
    </nc>
  </rcc>
  <rcc rId="141340" sId="1" numFmtId="23">
    <oc r="D66">
      <v>46167.59097222222</v>
    </oc>
    <nc r="D66">
      <v>46169.59375</v>
    </nc>
  </rcc>
  <rcc rId="141341" sId="1" numFmtId="23">
    <oc r="E66">
      <v>46167.635416666664</v>
    </oc>
    <nc r="E66">
      <v>46169.635416666664</v>
    </nc>
  </rcc>
  <rcc rId="141342" sId="1">
    <oc r="F66" t="inlineStr">
      <is>
        <t>ORD-PUJ-ORD</t>
      </is>
    </oc>
    <nc r="F66" t="inlineStr">
      <is>
        <t>BWI-PUJ-BWI</t>
      </is>
    </nc>
  </rcc>
  <rcc rId="141343" sId="1">
    <oc r="C67" t="inlineStr">
      <is>
        <t>FFT 25/8023</t>
      </is>
    </oc>
    <nc r="C67" t="inlineStr">
      <is>
        <t>FFT 25/24</t>
      </is>
    </nc>
  </rcc>
  <rcc rId="141344" sId="1" numFmtId="23">
    <oc r="D67">
      <v>46167.6</v>
    </oc>
    <nc r="D67">
      <v>46169.599999999999</v>
    </nc>
  </rcc>
  <rcc rId="141345" sId="1" numFmtId="23">
    <oc r="E67">
      <v>46167.648611111108</v>
    </oc>
    <nc r="E67">
      <v>46169.649305555555</v>
    </nc>
  </rcc>
  <rcc rId="141346" sId="1">
    <oc r="F67" t="inlineStr">
      <is>
        <t>ATL-PUJ-MSY</t>
      </is>
    </oc>
    <nc r="F67" t="inlineStr">
      <is>
        <t>ATL-PUJ-ATL</t>
      </is>
    </nc>
  </rcc>
  <rcc rId="141347" sId="1" numFmtId="23">
    <oc r="D68">
      <v>46167.602083333331</v>
    </oc>
    <nc r="D68">
      <v>46169.602083333331</v>
    </nc>
  </rcc>
  <rcc rId="141348" sId="1" numFmtId="23">
    <oc r="E68">
      <v>46167.649305555555</v>
    </oc>
    <nc r="E68">
      <v>46169.649305555555</v>
    </nc>
  </rcc>
  <rcc rId="141349" sId="1">
    <oc r="B69" t="inlineStr">
      <is>
        <t>DELTA AIRLINES</t>
      </is>
    </oc>
    <nc r="B69" t="inlineStr">
      <is>
        <t>TUI AIRWAYS</t>
      </is>
    </nc>
  </rcc>
  <rcc rId="141350" sId="1">
    <oc r="C69" t="inlineStr">
      <is>
        <t>DAL 1916/1836</t>
      </is>
    </oc>
    <nc r="C69" t="inlineStr">
      <is>
        <t>TOM 084/085</t>
      </is>
    </nc>
  </rcc>
  <rcc rId="141351" sId="1" numFmtId="23">
    <oc r="D69">
      <v>46167.607638888891</v>
    </oc>
    <nc r="D69">
      <v>46169.604166666664</v>
    </nc>
  </rcc>
  <rcc rId="141352" sId="1" numFmtId="23">
    <oc r="E69">
      <v>46167.666666666664</v>
    </oc>
    <nc r="E69">
      <v>46169.694444444445</v>
    </nc>
  </rcc>
  <rcc rId="141353" sId="1">
    <oc r="F69" t="inlineStr">
      <is>
        <t>ATL-PUJ-ATL</t>
      </is>
    </oc>
    <nc r="F69" t="inlineStr">
      <is>
        <t>LGW-PUJ-LGW</t>
      </is>
    </nc>
  </rcc>
  <rcc rId="141354" sId="1">
    <oc r="B70" t="inlineStr">
      <is>
        <t>WESTJET AIRLINES</t>
      </is>
    </oc>
    <nc r="B70" t="inlineStr">
      <is>
        <t>DELTA AIRLINES</t>
      </is>
    </nc>
  </rcc>
  <rcc rId="141355" sId="1">
    <oc r="C70" t="inlineStr">
      <is>
        <t>WJA 2700/2701</t>
      </is>
    </oc>
    <nc r="C70" t="inlineStr">
      <is>
        <t>DAL 1916/1836</t>
      </is>
    </nc>
  </rcc>
  <rcc rId="141356" sId="1" numFmtId="23">
    <oc r="D70">
      <v>46167.607638888891</v>
    </oc>
    <nc r="D70">
      <v>46169.607638888891</v>
    </nc>
  </rcc>
  <rcc rId="141357" sId="1" numFmtId="23">
    <oc r="E70">
      <v>46167.649305555555</v>
    </oc>
    <nc r="E70">
      <v>46169.666666666664</v>
    </nc>
  </rcc>
  <rcc rId="141358" sId="1">
    <oc r="F70" t="inlineStr">
      <is>
        <t>YYZ-PUJ-YYZ</t>
      </is>
    </oc>
    <nc r="F70" t="inlineStr">
      <is>
        <t>ATL-PUJ-ATL</t>
      </is>
    </nc>
  </rcc>
  <rcc rId="141359" sId="1">
    <oc r="B71" t="inlineStr">
      <is>
        <t>UNITED AIRLINES</t>
      </is>
    </oc>
    <nc r="B71" t="inlineStr">
      <is>
        <t>WESTJET AIRLINES</t>
      </is>
    </nc>
  </rcc>
  <rcc rId="141360" sId="1">
    <oc r="C71" t="inlineStr">
      <is>
        <t>UAL 2122/1284</t>
      </is>
    </oc>
    <nc r="C71" t="inlineStr">
      <is>
        <t>WJA 2700/2701</t>
      </is>
    </nc>
  </rcc>
  <rcc rId="141361" sId="1" numFmtId="23">
    <oc r="D71">
      <v>46167.616666666669</v>
    </oc>
    <nc r="D71">
      <v>46169.607638888891</v>
    </nc>
  </rcc>
  <rcc rId="141362" sId="1" numFmtId="23">
    <oc r="E71">
      <v>46167.666666666664</v>
    </oc>
    <nc r="E71">
      <v>46169.649305555555</v>
    </nc>
  </rcc>
  <rcc rId="141363" sId="1">
    <oc r="F71" t="inlineStr">
      <is>
        <t>EWR-PUJ-IAH</t>
      </is>
    </oc>
    <nc r="F71" t="inlineStr">
      <is>
        <t>YYZ-PUJ-YYZ</t>
      </is>
    </nc>
  </rcc>
  <rcc rId="141364" sId="1">
    <oc r="B72" t="inlineStr">
      <is>
        <t>TUI AIRWAYS</t>
      </is>
    </oc>
    <nc r="B72" t="inlineStr">
      <is>
        <t>UNITED AIRLINES</t>
      </is>
    </nc>
  </rcc>
  <rcc rId="141365" sId="1">
    <oc r="C72" t="inlineStr">
      <is>
        <t>TOM 566/567</t>
      </is>
    </oc>
    <nc r="C72" t="inlineStr">
      <is>
        <t>UAL 2122/1284</t>
      </is>
    </nc>
  </rcc>
  <rcc rId="141366" sId="1" numFmtId="23">
    <oc r="D72">
      <v>46167.618055555555</v>
    </oc>
    <nc r="D72">
      <v>46169.616666666669</v>
    </nc>
  </rcc>
  <rcc rId="141367" sId="1" numFmtId="23">
    <oc r="E72">
      <v>46167.701388888891</v>
    </oc>
    <nc r="E72">
      <v>46169.666666666664</v>
    </nc>
  </rcc>
  <rcc rId="141368" sId="1">
    <oc r="F72" t="inlineStr">
      <is>
        <t>BHX-PUJ-BHX</t>
      </is>
    </oc>
    <nc r="F72" t="inlineStr">
      <is>
        <t>EWR-PUJ-IAH</t>
      </is>
    </nc>
  </rcc>
  <rcc rId="141369" sId="1">
    <oc r="B73" t="inlineStr">
      <is>
        <t>SOUTHWEST AIRLINES</t>
      </is>
    </oc>
    <nc r="B73" t="inlineStr">
      <is>
        <t>AMERICAN AIRLINES</t>
      </is>
    </nc>
  </rcc>
  <rcc rId="141370" sId="1">
    <oc r="C73" t="inlineStr">
      <is>
        <t>SWA 821/822</t>
      </is>
    </oc>
    <nc r="C73" t="inlineStr">
      <is>
        <t>AAL 1070/845</t>
      </is>
    </nc>
  </rcc>
  <rcc rId="141371" sId="1" numFmtId="23">
    <oc r="D73">
      <v>46167.625</v>
    </oc>
    <nc r="D73">
      <v>46169.629166666666</v>
    </nc>
  </rcc>
  <rcc rId="141372" sId="1" numFmtId="23">
    <oc r="E73">
      <v>46167.666666666664</v>
    </oc>
    <nc r="E73">
      <v>46169.67083333333</v>
    </nc>
  </rcc>
  <rcc rId="141373" sId="1">
    <oc r="F73" t="inlineStr">
      <is>
        <t>BWI-PUJ-BWI</t>
      </is>
    </oc>
    <nc r="F73" t="inlineStr">
      <is>
        <t>PHL-PUJ-PHL</t>
      </is>
    </nc>
  </rcc>
  <rcc rId="141374" sId="1">
    <oc r="C74" t="inlineStr">
      <is>
        <t>AAL 1070/845</t>
      </is>
    </oc>
    <nc r="C74" t="inlineStr">
      <is>
        <t>AAL 1292/1292</t>
      </is>
    </nc>
  </rcc>
  <rcc rId="141375" sId="1" numFmtId="23">
    <oc r="D74">
      <v>46167.629166666666</v>
    </oc>
    <nc r="D74">
      <v>46169.630555555559</v>
    </nc>
  </rcc>
  <rcc rId="141376" sId="1" numFmtId="23">
    <oc r="E74">
      <v>46167.67083333333</v>
    </oc>
    <nc r="E74">
      <v>46169.672222222223</v>
    </nc>
  </rcc>
  <rcc rId="141377" sId="1">
    <oc r="F74" t="inlineStr">
      <is>
        <t>PHL-PUJ-PHL</t>
      </is>
    </oc>
    <nc r="F74" t="inlineStr">
      <is>
        <t>CLT-PUJ-CLT</t>
      </is>
    </nc>
  </rcc>
  <rcc rId="141378" sId="1">
    <oc r="B75" t="inlineStr">
      <is>
        <t>AMERICAN AIRLINES</t>
      </is>
    </oc>
    <nc r="B75" t="inlineStr">
      <is>
        <t>JETBLUE AIRWAYS</t>
      </is>
    </nc>
  </rcc>
  <rcc rId="141379" sId="1">
    <oc r="C75" t="inlineStr">
      <is>
        <t>AAL 1292/1292</t>
      </is>
    </oc>
    <nc r="C75" t="inlineStr">
      <is>
        <t>JBU 2031/2132</t>
      </is>
    </nc>
  </rcc>
  <rcc rId="141380" sId="1" numFmtId="23">
    <oc r="D75">
      <v>46167.630555555559</v>
    </oc>
    <nc r="D75">
      <v>46169.634722222225</v>
    </nc>
  </rcc>
  <rcc rId="141381" sId="1" numFmtId="23">
    <oc r="E75">
      <v>46167.672222222223</v>
    </oc>
    <nc r="E75">
      <v>46169.679861111108</v>
    </nc>
  </rcc>
  <rcc rId="141382" sId="1">
    <oc r="F75" t="inlineStr">
      <is>
        <t>CLT-PUJ-CLT</t>
      </is>
    </oc>
    <nc r="F75" t="inlineStr">
      <is>
        <t>SJU-PUJ-SJU</t>
      </is>
    </nc>
  </rcc>
  <rcc rId="141383" sId="1">
    <oc r="B76" t="inlineStr">
      <is>
        <t>JETBLUE AIRWAYS</t>
      </is>
    </oc>
    <nc r="B76" t="inlineStr">
      <is>
        <t>AMERICAN AIRLINES</t>
      </is>
    </nc>
  </rcc>
  <rcc rId="141384" sId="1">
    <oc r="C76" t="inlineStr">
      <is>
        <t>JBU 2031/2132</t>
      </is>
    </oc>
    <nc r="C76" t="inlineStr">
      <is>
        <t>AAL 2517/2517</t>
      </is>
    </nc>
  </rcc>
  <rcc rId="141385" sId="1" numFmtId="23">
    <oc r="D76">
      <v>46167.634722222225</v>
    </oc>
    <nc r="D76">
      <v>46169.635416666664</v>
    </nc>
  </rcc>
  <rcc rId="141386" sId="1" numFmtId="23">
    <oc r="E76">
      <v>46167.679861111108</v>
    </oc>
    <nc r="E76">
      <v>46169.677083333336</v>
    </nc>
  </rcc>
  <rcc rId="141387" sId="1">
    <oc r="F76" t="inlineStr">
      <is>
        <t>SJU-PUJ-SJU</t>
      </is>
    </oc>
    <nc r="F76" t="inlineStr">
      <is>
        <t>MIA-PUJ-MIA</t>
      </is>
    </nc>
  </rcc>
  <rcc rId="141388" sId="1">
    <oc r="B77" t="inlineStr">
      <is>
        <t>AMERICAN AIRLINES</t>
      </is>
    </oc>
    <nc r="B77" t="inlineStr">
      <is>
        <t>AIR CANADA</t>
      </is>
    </nc>
  </rcc>
  <rcc rId="141389" sId="1">
    <oc r="C77" t="inlineStr">
      <is>
        <t>AAL 2517/2517</t>
      </is>
    </oc>
    <nc r="C77" t="inlineStr">
      <is>
        <t>ACA 1794/1795</t>
      </is>
    </nc>
  </rcc>
  <rcc rId="141390" sId="1" numFmtId="23">
    <oc r="D77">
      <v>46167.635416666664</v>
    </oc>
    <nc r="D77">
      <v>46169.638888888891</v>
    </nc>
  </rcc>
  <rcc rId="141391" sId="1" numFmtId="23">
    <oc r="E77">
      <v>46167.677083333336</v>
    </oc>
    <nc r="E77">
      <v>46169.684027777781</v>
    </nc>
  </rcc>
  <rcc rId="141392" sId="1">
    <oc r="F77" t="inlineStr">
      <is>
        <t>MIA-PUJ-MIA</t>
      </is>
    </oc>
    <nc r="F77" t="inlineStr">
      <is>
        <t>YYZ-PUJ-YYZ</t>
      </is>
    </nc>
  </rcc>
  <rcc rId="141393" sId="1" numFmtId="23">
    <oc r="D78">
      <v>46167.638888888891</v>
    </oc>
    <nc r="D78">
      <v>46169.638888888891</v>
    </nc>
  </rcc>
  <rcc rId="141394" sId="1" numFmtId="23">
    <oc r="E78">
      <v>46167.725694444445</v>
    </oc>
    <nc r="E78">
      <v>46169.725694444445</v>
    </nc>
  </rcc>
  <rcc rId="141395" sId="1">
    <oc r="B79" t="inlineStr">
      <is>
        <t>AIR CANADA</t>
      </is>
    </oc>
    <nc r="B79" t="inlineStr">
      <is>
        <t>AIR CARAIBES</t>
      </is>
    </nc>
  </rcc>
  <rcc rId="141396" sId="1">
    <oc r="C79" t="inlineStr">
      <is>
        <t>ACA 1794/1795</t>
      </is>
    </oc>
    <nc r="C79" t="inlineStr">
      <is>
        <t>FWI 606/607</t>
      </is>
    </nc>
  </rcc>
  <rcc rId="141397" sId="1" numFmtId="23">
    <oc r="D79">
      <v>46167.638888888891</v>
    </oc>
    <nc r="D79">
      <v>46169.642361111109</v>
    </nc>
  </rcc>
  <rcc rId="141398" sId="1" numFmtId="23">
    <oc r="E79">
      <v>46167.684027777781</v>
    </oc>
    <nc r="E79">
      <v>46169.743055555555</v>
    </nc>
  </rcc>
  <rcc rId="141399" sId="1">
    <oc r="F79" t="inlineStr">
      <is>
        <t>YYZ-PUJ-YYZ</t>
      </is>
    </oc>
    <nc r="F79" t="inlineStr">
      <is>
        <t>ORY-PUJ-ORY</t>
      </is>
    </nc>
  </rcc>
  <rcc rId="141400" sId="1" numFmtId="23">
    <oc r="D80">
      <v>46167.643750000003</v>
    </oc>
    <nc r="D80">
      <v>46169.643750000003</v>
    </nc>
  </rcc>
  <rcc rId="141401" sId="1" numFmtId="23">
    <oc r="E80">
      <v>46167.692361111112</v>
    </oc>
    <nc r="E80">
      <v>46169.692361111112</v>
    </nc>
  </rcc>
  <rcc rId="141402" sId="1">
    <oc r="B81" t="inlineStr">
      <is>
        <t>UNITED AIRLINES</t>
      </is>
    </oc>
    <nc r="B81" t="inlineStr">
      <is>
        <t>AEROMEXICO</t>
      </is>
    </nc>
  </rcc>
  <rcc rId="141403" sId="1">
    <oc r="C81" t="inlineStr">
      <is>
        <t>UAL 420/1526</t>
      </is>
    </oc>
    <nc r="C81" t="inlineStr">
      <is>
        <t>AMX 460/461</t>
      </is>
    </nc>
  </rcc>
  <rcc rId="141404" sId="1" numFmtId="23">
    <oc r="D81">
      <v>46167.645833333336</v>
    </oc>
    <nc r="D81">
      <v>46169.645833333336</v>
    </nc>
  </rcc>
  <rcc rId="141405" sId="1" numFmtId="23">
    <oc r="E81">
      <v>46167.694444444445</v>
    </oc>
    <nc r="E81">
      <v>46169.704861111109</v>
    </nc>
  </rcc>
  <rcc rId="141406" sId="1">
    <oc r="F81" t="inlineStr">
      <is>
        <t>IAH-PUJ-EWR</t>
      </is>
    </oc>
    <nc r="F81" t="inlineStr">
      <is>
        <t>MEX-PUJ-MEX</t>
      </is>
    </nc>
  </rcc>
  <rcc rId="141407" sId="1">
    <oc r="B82" t="inlineStr">
      <is>
        <t>AEROMEXICO</t>
      </is>
    </oc>
    <nc r="B82" t="inlineStr">
      <is>
        <t>UNITED AIRLINES</t>
      </is>
    </nc>
  </rcc>
  <rcc rId="141408" sId="1">
    <oc r="C82" t="inlineStr">
      <is>
        <t>AMX 460/461</t>
      </is>
    </oc>
    <nc r="C82" t="inlineStr">
      <is>
        <t>UAL 420/1526</t>
      </is>
    </nc>
  </rcc>
  <rcc rId="141409" sId="1" numFmtId="23">
    <oc r="D82">
      <v>46167.645833333336</v>
    </oc>
    <nc r="D82">
      <v>46169.645833333336</v>
    </nc>
  </rcc>
  <rcc rId="141410" sId="1" numFmtId="23">
    <oc r="E82">
      <v>46167.704861111109</v>
    </oc>
    <nc r="E82">
      <v>46169.694444444445</v>
    </nc>
  </rcc>
  <rcc rId="141411" sId="1">
    <oc r="F82" t="inlineStr">
      <is>
        <t>MEX-PUJ-MEX</t>
      </is>
    </oc>
    <nc r="F82" t="inlineStr">
      <is>
        <t>IAH-PUJ-EWR</t>
      </is>
    </nc>
  </rcc>
  <rcc rId="141412" sId="1" numFmtId="23">
    <oc r="D83">
      <v>46167.65625</v>
    </oc>
    <nc r="D83">
      <v>46169.65625</v>
    </nc>
  </rcc>
  <rcc rId="141413" sId="1" numFmtId="23">
    <oc r="E83">
      <v>46167.70208333333</v>
    </oc>
    <nc r="E83">
      <v>46169.70208333333</v>
    </nc>
  </rcc>
  <rcc rId="141414" sId="1" numFmtId="23">
    <oc r="D84">
      <v>46167.665972222225</v>
    </oc>
    <nc r="D84">
      <v>46169.665972222225</v>
    </nc>
  </rcc>
  <rcc rId="141415" sId="1" numFmtId="23">
    <oc r="E84">
      <v>46167.711111111108</v>
    </oc>
    <nc r="E84">
      <v>46169.711111111108</v>
    </nc>
  </rcc>
  <rcc rId="141416" sId="1" numFmtId="23">
    <oc r="D85">
      <v>46167.666666666664</v>
    </oc>
    <nc r="D85">
      <v>46169.666666666664</v>
    </nc>
  </rcc>
  <rcc rId="141417" sId="1" numFmtId="23">
    <oc r="E85">
      <v>46167.745833333334</v>
    </oc>
    <nc r="E85">
      <v>46169.745833333334</v>
    </nc>
  </rcc>
  <rcc rId="141418" sId="1">
    <oc r="B86" t="inlineStr">
      <is>
        <t>AMERICAN AIRLINES</t>
      </is>
    </oc>
    <nc r="B86" t="inlineStr">
      <is>
        <t>BRITISH AIRWAYS</t>
      </is>
    </nc>
  </rcc>
  <rcc rId="141419" sId="1">
    <oc r="C86" t="inlineStr">
      <is>
        <t>AAL 503/1037</t>
      </is>
    </oc>
    <nc r="C86" t="inlineStr">
      <is>
        <t>BAW 2205/2204</t>
      </is>
    </nc>
  </rcc>
  <rcc rId="141420" sId="1" numFmtId="23">
    <oc r="D86">
      <v>46167.669444444444</v>
    </oc>
    <nc r="D86">
      <v>46169.666666666664</v>
    </nc>
  </rcc>
  <rcc rId="141421" sId="1" numFmtId="23">
    <oc r="E86">
      <v>46167.711111111108</v>
    </oc>
    <nc r="E86">
      <v>46169.75</v>
    </nc>
  </rcc>
  <rcc rId="141422" sId="1">
    <oc r="F86" t="inlineStr">
      <is>
        <t>DFW-PUJ-DFW</t>
      </is>
    </oc>
    <nc r="F86" t="inlineStr">
      <is>
        <t>LGW-PUJ-LGW</t>
      </is>
    </nc>
  </rcc>
  <rcc rId="141423" sId="1">
    <oc r="B87" t="inlineStr">
      <is>
        <t>SKY AIRLINE PERÚ</t>
      </is>
    </oc>
    <nc r="B87" t="inlineStr">
      <is>
        <t>AMERICAN AIRLINES</t>
      </is>
    </nc>
  </rcc>
  <rcc rId="141424" sId="1">
    <oc r="C87" t="inlineStr">
      <is>
        <t>SKX 5580/5581</t>
      </is>
    </oc>
    <nc r="C87" t="inlineStr">
      <is>
        <t>AAL 503/1037</t>
      </is>
    </nc>
  </rcc>
  <rcc rId="141425" sId="1" numFmtId="23">
    <oc r="D87">
      <v>46167.680555555555</v>
    </oc>
    <nc r="D87">
      <v>46169.669444444444</v>
    </nc>
  </rcc>
  <rcc rId="141426" sId="1" numFmtId="23">
    <oc r="E87">
      <v>46167.729166666664</v>
    </oc>
    <nc r="E87">
      <v>46169.711111111108</v>
    </nc>
  </rcc>
  <rcc rId="141427" sId="1">
    <oc r="F87" t="inlineStr">
      <is>
        <t>LIM-PUJ-LIM</t>
      </is>
    </oc>
    <nc r="F87" t="inlineStr">
      <is>
        <t>DFW-PUJ-DFW</t>
      </is>
    </nc>
  </rcc>
  <rcc rId="141428" sId="1">
    <oc r="B88" t="inlineStr">
      <is>
        <t>TUI AIRWAYS</t>
      </is>
    </oc>
    <nc r="B88" t="inlineStr">
      <is>
        <t>SKY AIRLINE PERÚ</t>
      </is>
    </nc>
  </rcc>
  <rcc rId="141429" sId="1">
    <oc r="C88" t="inlineStr">
      <is>
        <t>TOM 168/169</t>
      </is>
    </oc>
    <nc r="C88" t="inlineStr">
      <is>
        <t>SKX 5580/5581</t>
      </is>
    </nc>
  </rcc>
  <rcc rId="141430" sId="1" numFmtId="23">
    <oc r="D88">
      <v>46167.684027777781</v>
    </oc>
    <nc r="D88">
      <v>46169.680555555555</v>
    </nc>
  </rcc>
  <rcc rId="141431" sId="1" numFmtId="23">
    <oc r="E88">
      <v>46167.767361111109</v>
    </oc>
    <nc r="E88">
      <v>46169.729166666664</v>
    </nc>
  </rcc>
  <rcc rId="141432" sId="1">
    <oc r="F88" t="inlineStr">
      <is>
        <t>MAN-PUJ-MAN</t>
      </is>
    </oc>
    <nc r="F88" t="inlineStr">
      <is>
        <t>LIM-PUJ-LIM</t>
      </is>
    </nc>
  </rcc>
  <rcc rId="141433" sId="1">
    <oc r="B89" t="inlineStr">
      <is>
        <t>JETBLUE AIRWAYS</t>
      </is>
    </oc>
    <nc r="B89" t="inlineStr">
      <is>
        <t>TUI FLY NETHERLANDS</t>
      </is>
    </nc>
  </rcc>
  <rcc rId="141434" sId="1">
    <oc r="C89" t="inlineStr">
      <is>
        <t>JBU 2940/2941</t>
      </is>
    </oc>
    <nc r="C89" t="inlineStr">
      <is>
        <t>TFL 757/757</t>
      </is>
    </nc>
  </rcc>
  <rcc rId="141435" sId="1" numFmtId="23">
    <oc r="D89">
      <v>46167.68472222222</v>
    </oc>
    <nc r="D89">
      <v>46169.680555555555</v>
    </nc>
  </rcc>
  <rcc rId="141436" sId="1" numFmtId="23">
    <oc r="E89">
      <v>46167.729861111111</v>
    </oc>
    <nc r="E89">
      <v>46169.743055555555</v>
    </nc>
  </rcc>
  <rcc rId="141437" sId="1">
    <oc r="F89" t="inlineStr">
      <is>
        <t>SJU-PUJ-SJU</t>
      </is>
    </oc>
    <nc r="F89" t="inlineStr">
      <is>
        <t>AMS-PUJ-CUR, AMS</t>
      </is>
    </nc>
  </rcc>
  <rcc rId="141438" sId="1">
    <oc r="C90" t="inlineStr">
      <is>
        <t>JBU 1595/1596</t>
      </is>
    </oc>
    <nc r="C90" t="inlineStr">
      <is>
        <t>JBU 2940/2941</t>
      </is>
    </nc>
  </rcc>
  <rcc rId="141439" sId="1" numFmtId="23">
    <oc r="D90">
      <v>46167.693749999999</v>
    </oc>
    <nc r="D90">
      <v>46169.68472222222</v>
    </nc>
  </rcc>
  <rcc rId="141440" sId="1" numFmtId="23">
    <oc r="E90">
      <v>46167.738888888889</v>
    </oc>
    <nc r="E90">
      <v>46169.729861111111</v>
    </nc>
  </rcc>
  <rcc rId="141441" sId="1">
    <oc r="F90" t="inlineStr">
      <is>
        <t>BOS-PUJ-BOS</t>
      </is>
    </oc>
    <nc r="F90" t="inlineStr">
      <is>
        <t>SJU-PUJ-SJU</t>
      </is>
    </nc>
  </rcc>
  <rcc rId="141442" sId="1">
    <oc r="B91" t="inlineStr">
      <is>
        <t>AVIANCA</t>
      </is>
    </oc>
    <nc r="B91" t="inlineStr">
      <is>
        <t>JETBLUE AIRWAYS</t>
      </is>
    </nc>
  </rcc>
  <rcc rId="141443" sId="1">
    <oc r="C91" t="inlineStr">
      <is>
        <t>AVA 252/253</t>
      </is>
    </oc>
    <nc r="C91" t="inlineStr">
      <is>
        <t>JBU 1595/1596</t>
      </is>
    </nc>
  </rcc>
  <rcc rId="141444" sId="1" numFmtId="23">
    <oc r="D91">
      <v>46167.697916666664</v>
    </oc>
    <nc r="D91">
      <v>46169.693749999999</v>
    </nc>
  </rcc>
  <rcc rId="141445" sId="1" numFmtId="23">
    <oc r="E91">
      <v>46167.75</v>
    </oc>
    <nc r="E91">
      <v>46169.738888888889</v>
    </nc>
  </rcc>
  <rcc rId="141446" sId="1">
    <oc r="F91" t="inlineStr">
      <is>
        <t>BOG-PUJ-BOG</t>
      </is>
    </oc>
    <nc r="F91" t="inlineStr">
      <is>
        <t>BOS-PUJ-BOS</t>
      </is>
    </nc>
  </rcc>
  <rcc rId="141447" sId="1">
    <oc r="B92" t="inlineStr">
      <is>
        <t>AMERICAN AIRLINES</t>
      </is>
    </oc>
    <nc r="B92" t="inlineStr">
      <is>
        <t>AVIANCA</t>
      </is>
    </nc>
  </rcc>
  <rcc rId="141448" sId="1">
    <oc r="C92" t="inlineStr">
      <is>
        <t>AAL 2638/2638</t>
      </is>
    </oc>
    <nc r="C92" t="inlineStr">
      <is>
        <t>AVA 252/253</t>
      </is>
    </nc>
  </rcc>
  <rcc rId="141449" sId="1" numFmtId="23">
    <oc r="D92">
      <v>46167.7</v>
    </oc>
    <nc r="D92">
      <v>46169.697916666664</v>
    </nc>
  </rcc>
  <rcc rId="141450" sId="1" numFmtId="23">
    <oc r="E92">
      <v>46167.741666666669</v>
    </oc>
    <nc r="E92">
      <v>46169.75</v>
    </nc>
  </rcc>
  <rcc rId="141451" sId="1">
    <oc r="F92" t="inlineStr">
      <is>
        <t>MIA-PUJ-MIA</t>
      </is>
    </oc>
    <nc r="F92" t="inlineStr">
      <is>
        <t>BOG-PUJ-BOG</t>
      </is>
    </nc>
  </rcc>
  <rcc rId="141452" sId="1">
    <oc r="B93" t="inlineStr">
      <is>
        <t>AVIANCA</t>
      </is>
    </oc>
    <nc r="B93" t="inlineStr">
      <is>
        <t>AMERICAN AIRLINES</t>
      </is>
    </nc>
  </rcc>
  <rcc rId="141453" sId="1">
    <oc r="C93" t="inlineStr">
      <is>
        <t>AVA 136/137</t>
      </is>
    </oc>
    <nc r="C93" t="inlineStr">
      <is>
        <t>AAL 2638/2638</t>
      </is>
    </nc>
  </rcc>
  <rcc rId="141454" sId="1" numFmtId="23">
    <oc r="D93">
      <v>46167.725694444445</v>
    </oc>
    <nc r="D93">
      <v>46169.7</v>
    </nc>
  </rcc>
  <rcc rId="141455" sId="1" numFmtId="23">
    <oc r="E93">
      <v>46167.774305555555</v>
    </oc>
    <nc r="E93">
      <v>46169.741666666669</v>
    </nc>
  </rcc>
  <rcc rId="141456" sId="1">
    <oc r="F93" t="inlineStr">
      <is>
        <t>BOG-PUJ-BOG</t>
      </is>
    </oc>
    <nc r="F93" t="inlineStr">
      <is>
        <t>MIA-PUJ-MIA</t>
      </is>
    </nc>
  </rcc>
  <rcc rId="141457" sId="1">
    <oc r="B94" t="inlineStr">
      <is>
        <t>COPA AIRLINES</t>
      </is>
    </oc>
    <nc r="B94" t="inlineStr">
      <is>
        <t>ARAJET</t>
      </is>
    </nc>
  </rcc>
  <rcc rId="141458" sId="1">
    <oc r="C94" t="inlineStr">
      <is>
        <t>CMP 352/351</t>
      </is>
    </oc>
    <nc r="C94" t="inlineStr">
      <is>
        <t>DWI 1001/1098</t>
      </is>
    </nc>
  </rcc>
  <rcc rId="141459" sId="1" numFmtId="23">
    <oc r="D94">
      <v>46167.731944444444</v>
    </oc>
    <nc r="D94">
      <v>46169.711805555555</v>
    </nc>
  </rcc>
  <rcc rId="141460" sId="1" numFmtId="23">
    <oc r="E94">
      <v>46167.774305555555</v>
    </oc>
    <nc r="E94">
      <v>46169.743055555555</v>
    </nc>
  </rcc>
  <rcc rId="141461" sId="1">
    <oc r="F94" t="inlineStr">
      <is>
        <t>PTY-PUJ-PTY</t>
      </is>
    </oc>
    <nc r="F94" t="inlineStr">
      <is>
        <t>SJU-PUJ-SDQ</t>
      </is>
    </nc>
  </rcc>
  <rcc rId="141462" sId="1">
    <oc r="B95" t="inlineStr">
      <is>
        <t>UNITED AIRLINES</t>
      </is>
    </oc>
    <nc r="B95" t="inlineStr">
      <is>
        <t>AVIANCA</t>
      </is>
    </nc>
  </rcc>
  <rcc rId="141463" sId="1">
    <oc r="C95" t="inlineStr">
      <is>
        <t>UAL 1699/1518</t>
      </is>
    </oc>
    <nc r="C95" t="inlineStr">
      <is>
        <t>AVA 136/137</t>
      </is>
    </nc>
  </rcc>
  <rcc rId="141464" sId="1" numFmtId="23">
    <oc r="D95">
      <v>46167.732638888891</v>
    </oc>
    <nc r="D95">
      <v>46169.725694444445</v>
    </nc>
  </rcc>
  <rcc rId="141465" sId="1" numFmtId="23">
    <oc r="E95">
      <v>46167.78125</v>
    </oc>
    <nc r="E95">
      <v>46169.774305555555</v>
    </nc>
  </rcc>
  <rcc rId="141466" sId="1">
    <oc r="F95" t="inlineStr">
      <is>
        <t>DEN-PUJ-EWR</t>
      </is>
    </oc>
    <nc r="F95" t="inlineStr">
      <is>
        <t>BOG-PUJ-BOG</t>
      </is>
    </nc>
  </rcc>
  <rcc rId="141467" sId="1">
    <oc r="B96" t="inlineStr">
      <is>
        <t>LAN PERU</t>
      </is>
    </oc>
    <nc r="B96" t="inlineStr">
      <is>
        <t>COPA AIRLINES</t>
      </is>
    </nc>
  </rcc>
  <rcc rId="141468" sId="1">
    <oc r="C96" t="inlineStr">
      <is>
        <t>LPE 2460/2461</t>
      </is>
    </oc>
    <nc r="C96" t="inlineStr">
      <is>
        <t>CMP 352/351</t>
      </is>
    </nc>
  </rcc>
  <rcc rId="141469" sId="1" numFmtId="23">
    <oc r="D96">
      <v>46167.732638888891</v>
    </oc>
    <nc r="D96">
      <v>46169.731944444444</v>
    </nc>
  </rcc>
  <rcc rId="141470" sId="1" numFmtId="23">
    <oc r="E96">
      <v>46167.777777777781</v>
    </oc>
    <nc r="E96">
      <v>46169.774305555555</v>
    </nc>
  </rcc>
  <rcc rId="141471" sId="1">
    <oc r="F96" t="inlineStr">
      <is>
        <t>LIM-PUJ-LIM</t>
      </is>
    </oc>
    <nc r="F96" t="inlineStr">
      <is>
        <t>PTY-PUJ-PTY</t>
      </is>
    </nc>
  </rcc>
  <rcc rId="141472" sId="1">
    <oc r="B97" t="inlineStr">
      <is>
        <t>WINGO</t>
      </is>
    </oc>
    <nc r="B97" t="inlineStr">
      <is>
        <t>UNITED AIRLINES</t>
      </is>
    </nc>
  </rcc>
  <rcc rId="141473" sId="1">
    <oc r="C97" t="inlineStr">
      <is>
        <t>RPB 7024/7025</t>
      </is>
    </oc>
    <nc r="C97" t="inlineStr">
      <is>
        <t>UAL 1699/1518</t>
      </is>
    </nc>
  </rcc>
  <rcc rId="141474" sId="1" numFmtId="23">
    <oc r="D97">
      <v>46167.73333333333</v>
    </oc>
    <nc r="D97">
      <v>46169.732638888891</v>
    </nc>
  </rcc>
  <rcc rId="141475" sId="1" numFmtId="23">
    <oc r="E97">
      <v>46167.765277777777</v>
    </oc>
    <nc r="E97">
      <v>46169.78125</v>
    </nc>
  </rcc>
  <rcc rId="141476" sId="1">
    <oc r="F97" t="inlineStr">
      <is>
        <t>BOG-PUJ-BOG</t>
      </is>
    </oc>
    <nc r="F97" t="inlineStr">
      <is>
        <t>DEN-PUJ-EWR</t>
      </is>
    </nc>
  </rcc>
  <rcc rId="141477" sId="1">
    <oc r="B98" t="inlineStr">
      <is>
        <t>WORLD2FLY PORTUGAL</t>
      </is>
    </oc>
    <nc r="B98" t="inlineStr">
      <is>
        <t>LAN PERU</t>
      </is>
    </nc>
  </rcc>
  <rcc rId="141478" sId="1">
    <oc r="C98" t="inlineStr">
      <is>
        <t>WPT 3153/3154</t>
      </is>
    </oc>
    <nc r="C98" t="inlineStr">
      <is>
        <t>LPE 2460/2461</t>
      </is>
    </nc>
  </rcc>
  <rcc rId="141479" sId="1" numFmtId="23">
    <oc r="D98">
      <v>46167.739583333336</v>
    </oc>
    <nc r="D98">
      <v>46169.732638888891</v>
    </nc>
  </rcc>
  <rcc rId="141480" sId="1" numFmtId="23">
    <oc r="E98">
      <v>46167.822916666664</v>
    </oc>
    <nc r="E98">
      <v>46169.777777777781</v>
    </nc>
  </rcc>
  <rcc rId="141481" sId="1">
    <oc r="F98" t="inlineStr">
      <is>
        <t>LIS-PUJ-LIS</t>
      </is>
    </oc>
    <nc r="F98" t="inlineStr">
      <is>
        <t>LIM-PUJ-LIM</t>
      </is>
    </nc>
  </rcc>
  <rcc rId="141482" sId="1">
    <oc r="B99" t="inlineStr">
      <is>
        <t>RUTACA AIRLINES</t>
      </is>
    </oc>
    <nc r="B99" t="inlineStr">
      <is>
        <t>LAN PERU</t>
      </is>
    </nc>
  </rcc>
  <rcc rId="141483" sId="1">
    <oc r="C99" t="inlineStr">
      <is>
        <t>RUC 2233/2233</t>
      </is>
    </oc>
    <nc r="C99" t="inlineStr">
      <is>
        <t>LPE 2450/2451</t>
      </is>
    </nc>
  </rcc>
  <rcc rId="141484" sId="1" numFmtId="23">
    <oc r="D99">
      <v>46167.75</v>
    </oc>
    <nc r="D99">
      <v>46169.770833333336</v>
    </nc>
  </rcc>
  <rcc rId="141485" sId="1" numFmtId="23">
    <oc r="E99">
      <v>46167.791666666664</v>
    </oc>
    <nc r="E99">
      <v>46169.815972222219</v>
    </nc>
  </rcc>
  <rcc rId="141486" sId="1">
    <oc r="F99" t="inlineStr">
      <is>
        <t>HAV-PUJ-VLN</t>
      </is>
    </oc>
    <nc r="F99" t="inlineStr">
      <is>
        <t>LIM-PUJ-LIM</t>
      </is>
    </nc>
  </rcc>
  <rcc rId="141487" sId="1" numFmtId="23">
    <oc r="D100">
      <v>46167.753472222219</v>
    </oc>
    <nc r="D100">
      <v>46169.798611111109</v>
    </nc>
  </rcc>
  <rcc rId="141488" sId="1" numFmtId="23">
    <oc r="E100">
      <v>46167.84375</v>
    </oc>
    <nc r="E100">
      <v>46169.881944444445</v>
    </nc>
  </rcc>
  <rcc rId="141489" sId="1">
    <oc r="B101" t="inlineStr">
      <is>
        <t>AEROMEXICO</t>
      </is>
    </oc>
    <nc r="B101" t="inlineStr">
      <is>
        <t>AIR EUROPA</t>
      </is>
    </nc>
  </rcc>
  <rcc rId="141490" sId="1">
    <oc r="C101" t="inlineStr">
      <is>
        <t>AMX 9703/9704</t>
      </is>
    </oc>
    <nc r="C101" t="inlineStr">
      <is>
        <t>AEA 033/034</t>
      </is>
    </nc>
  </rcc>
  <rcc rId="141491" sId="1" numFmtId="23">
    <oc r="D101">
      <v>46167.770833333336</v>
    </oc>
    <nc r="D101">
      <v>46169.809027777781</v>
    </nc>
  </rcc>
  <rcc rId="141492" sId="1" numFmtId="23">
    <oc r="E101">
      <v>46171.375</v>
    </oc>
    <nc r="E101">
      <v>46169.888888888891</v>
    </nc>
  </rcc>
  <rcc rId="141493" sId="1">
    <oc r="F101" t="inlineStr">
      <is>
        <t>NLU-PUJ-NLU</t>
      </is>
    </oc>
    <nc r="F101" t="inlineStr">
      <is>
        <t>MAD-PUJ-MAD</t>
      </is>
    </nc>
  </rcc>
  <rcc rId="141494" sId="1">
    <oc r="B102" t="inlineStr">
      <is>
        <t>LAN PERU</t>
      </is>
    </oc>
    <nc r="B102" t="inlineStr">
      <is>
        <t>ARAJET</t>
      </is>
    </nc>
  </rcc>
  <rcc rId="141495" sId="1">
    <oc r="C102" t="inlineStr">
      <is>
        <t>LPE 2450/2451</t>
      </is>
    </oc>
    <nc r="C102" t="inlineStr">
      <is>
        <t>DWI 5103/6266</t>
      </is>
    </nc>
  </rcc>
  <rcc rId="141496" sId="1" numFmtId="23">
    <oc r="D102">
      <v>46167.770833333336</v>
    </oc>
    <nc r="D102">
      <v>46169.82916666667</v>
    </nc>
  </rcc>
  <rcc rId="141497" sId="1" numFmtId="23">
    <oc r="E102">
      <v>46167.815972222219</v>
    </oc>
    <nc r="E102">
      <v>46169.90625</v>
    </nc>
  </rcc>
  <rcc rId="141498" sId="1">
    <oc r="F102" t="inlineStr">
      <is>
        <t>LIM-PUJ-LIM</t>
      </is>
    </oc>
    <nc r="F102" t="inlineStr">
      <is>
        <t>MIA-PUJ-EZE</t>
      </is>
    </nc>
  </rcc>
  <rcc rId="141499" sId="1">
    <oc r="B103" t="inlineStr">
      <is>
        <t>AIR EUROPA</t>
      </is>
    </oc>
    <nc r="B103" t="inlineStr">
      <is>
        <t>FRONTIER AIRLINES</t>
      </is>
    </nc>
  </rcc>
  <rcc rId="141500" sId="1">
    <oc r="C103" t="inlineStr">
      <is>
        <t>AEA 033/034</t>
      </is>
    </oc>
    <nc r="C103" t="inlineStr">
      <is>
        <t>FFT 241/240</t>
      </is>
    </nc>
  </rcc>
  <rcc rId="141501" sId="1" numFmtId="23">
    <oc r="D103">
      <v>46167.78125</v>
    </oc>
    <nc r="D103">
      <v>46169.84652777778</v>
    </nc>
  </rcc>
  <rcc rId="141502" sId="1" numFmtId="23">
    <oc r="E103">
      <v>46167.888888888891</v>
    </oc>
    <nc r="E103">
      <v>46169.895138888889</v>
    </nc>
  </rcc>
  <rcc rId="141503" sId="1">
    <oc r="F103" t="inlineStr">
      <is>
        <t>MAD-PUJ-MAD</t>
      </is>
    </oc>
    <nc r="F103" t="inlineStr">
      <is>
        <t>SJU-PUJ-SJU</t>
      </is>
    </nc>
  </rcc>
  <rcc rId="141504" sId="1">
    <oc r="B104" t="inlineStr">
      <is>
        <t>IBEROJET PORTUGAL</t>
      </is>
    </oc>
    <nc r="B104" t="inlineStr">
      <is>
        <t>ARAJET</t>
      </is>
    </nc>
  </rcc>
  <rcc rId="141505" sId="1" numFmtId="23">
    <oc r="D104">
      <v>46167.784722222219</v>
    </oc>
    <nc r="D104">
      <v>46169.850694444445</v>
    </nc>
  </rcc>
  <rcc rId="141506" sId="1">
    <oc r="B105" t="inlineStr">
      <is>
        <t>WINGO</t>
      </is>
    </oc>
    <nc r="B105" t="inlineStr">
      <is>
        <t>ARAJET</t>
      </is>
    </nc>
  </rcc>
  <rcc rId="141507" sId="1" numFmtId="23">
    <oc r="D105">
      <v>46167.790972222225</v>
    </oc>
    <nc r="D105">
      <v>46169.979166666664</v>
    </nc>
  </rcc>
  <rcc rId="141508" sId="1">
    <oc r="K3" t="inlineStr">
      <is>
        <t>N/A</t>
      </is>
    </oc>
    <nc r="K3">
      <v>182</v>
    </nc>
  </rcc>
  <rcc rId="141509" sId="1">
    <oc r="M3" t="inlineStr">
      <is>
        <t>N9</t>
      </is>
    </oc>
    <nc r="M3" t="inlineStr">
      <is>
        <t>B22</t>
      </is>
    </nc>
  </rcc>
  <rcc rId="141510" sId="1">
    <oc r="N3" t="inlineStr">
      <is>
        <t>N/A</t>
      </is>
    </oc>
    <nc r="N3">
      <v>23</v>
    </nc>
  </rcc>
  <rcc rId="141511" sId="1">
    <oc r="H4" t="inlineStr">
      <is>
        <t>UNITED</t>
      </is>
    </oc>
    <nc r="H4" t="inlineStr">
      <is>
        <t>A.A.G.</t>
      </is>
    </nc>
  </rcc>
  <rcc rId="141512" sId="1">
    <oc r="N4" t="inlineStr">
      <is>
        <t>N/A</t>
      </is>
    </oc>
    <nc r="N4" t="inlineStr">
      <is>
        <t>26C</t>
      </is>
    </nc>
  </rcc>
  <rcc rId="141513" sId="1">
    <oc r="G5" t="inlineStr">
      <is>
        <t>B733</t>
      </is>
    </oc>
    <nc r="G5" t="inlineStr">
      <is>
        <t>B738</t>
      </is>
    </nc>
  </rcc>
  <rcc rId="141514" sId="1">
    <oc r="H5" t="inlineStr">
      <is>
        <t>CARIBE CARGO</t>
      </is>
    </oc>
    <nc r="H5" t="inlineStr">
      <is>
        <t>SERVAIR</t>
      </is>
    </nc>
  </rcc>
  <rcc rId="141515" sId="1">
    <oc r="K5" t="inlineStr">
      <is>
        <t>N/A</t>
      </is>
    </oc>
    <nc r="K5">
      <v>159</v>
    </nc>
  </rcc>
  <rcc rId="141516" sId="1">
    <oc r="L5" t="inlineStr">
      <is>
        <t>N/A</t>
      </is>
    </oc>
    <nc r="L5">
      <v>1</v>
    </nc>
  </rcc>
  <rcc rId="141517" sId="1">
    <oc r="M5" t="inlineStr">
      <is>
        <t>C1</t>
      </is>
    </oc>
    <nc r="M5" t="inlineStr">
      <is>
        <t>N5</t>
      </is>
    </nc>
  </rcc>
  <rcc rId="141518" sId="1">
    <oc r="N5" t="inlineStr">
      <is>
        <t>N/A</t>
      </is>
    </oc>
    <nc r="N5">
      <v>10</v>
    </nc>
  </rcc>
  <rcc rId="141519" sId="1">
    <oc r="O5" t="inlineStr">
      <is>
        <t>CARGA</t>
      </is>
    </oc>
    <nc r="O5" t="inlineStr">
      <is>
        <t>A</t>
      </is>
    </nc>
  </rcc>
  <rcc rId="141520" sId="1">
    <oc r="G6" t="inlineStr">
      <is>
        <t>A321</t>
      </is>
    </oc>
    <nc r="G6" t="inlineStr">
      <is>
        <t>B38M</t>
      </is>
    </nc>
  </rcc>
  <rcc rId="141521" sId="1">
    <oc r="J6" t="inlineStr">
      <is>
        <t>N/A</t>
      </is>
    </oc>
    <nc r="J6">
      <v>3</v>
    </nc>
  </rcc>
  <rcc rId="141522" sId="1">
    <oc r="L6">
      <v>1</v>
    </oc>
    <nc r="L6">
      <v>14</v>
    </nc>
  </rcc>
  <rcc rId="141523" sId="1">
    <oc r="M6" t="inlineStr">
      <is>
        <t>P7</t>
      </is>
    </oc>
    <nc r="M6" t="inlineStr">
      <is>
        <t>B21</t>
      </is>
    </nc>
  </rcc>
  <rcc rId="141524" sId="1">
    <oc r="N6">
      <v>6</v>
    </oc>
    <nc r="N6">
      <v>21</v>
    </nc>
  </rcc>
  <rcc rId="141525" sId="1">
    <oc r="O6" t="inlineStr">
      <is>
        <t>A</t>
      </is>
    </oc>
    <nc r="O6" t="inlineStr">
      <is>
        <t>B</t>
      </is>
    </nc>
  </rcc>
  <rcc rId="141526" sId="1">
    <oc r="J7" t="inlineStr">
      <is>
        <t>N/A</t>
      </is>
    </oc>
    <nc r="J7">
      <v>54</v>
    </nc>
  </rcc>
  <rcc rId="141527" sId="1">
    <oc r="K7">
      <v>154</v>
    </oc>
    <nc r="K7">
      <v>151</v>
    </nc>
  </rcc>
  <rcc rId="141528" sId="1">
    <oc r="M7" t="inlineStr">
      <is>
        <t>B20</t>
      </is>
    </oc>
    <nc r="M7" t="inlineStr">
      <is>
        <t>B24</t>
      </is>
    </nc>
  </rcc>
  <rcc rId="141529" sId="1">
    <oc r="N7">
      <v>20</v>
    </oc>
    <nc r="N7">
      <v>25</v>
    </nc>
  </rcc>
  <rcc rId="141530" sId="1">
    <oc r="G8" t="inlineStr">
      <is>
        <t>B38M</t>
      </is>
    </oc>
    <nc r="G8" t="inlineStr">
      <is>
        <t>A330</t>
      </is>
    </nc>
  </rcc>
  <rcc rId="141531" sId="1">
    <oc r="H8" t="inlineStr">
      <is>
        <t>A.A.G.</t>
      </is>
    </oc>
    <nc r="H8" t="inlineStr">
      <is>
        <t>CARIPORTS</t>
      </is>
    </nc>
  </rcc>
  <rcc rId="141532" sId="1">
    <oc r="I8" t="inlineStr">
      <is>
        <t>N/A</t>
      </is>
    </oc>
    <nc r="I8">
      <v>238</v>
    </nc>
  </rcc>
  <rcc rId="141533" sId="1">
    <oc r="K8" t="inlineStr">
      <is>
        <t>N/A</t>
      </is>
    </oc>
    <nc r="K8">
      <v>232</v>
    </nc>
  </rcc>
  <rcc rId="141534" sId="1">
    <oc r="L8" t="inlineStr">
      <is>
        <t>N/A</t>
      </is>
    </oc>
    <nc r="L8">
      <v>15</v>
    </nc>
  </rcc>
  <rcc rId="141535" sId="1">
    <oc r="M8" t="inlineStr">
      <is>
        <t>B22</t>
      </is>
    </oc>
    <nc r="M8" t="inlineStr">
      <is>
        <t>B25</t>
      </is>
    </nc>
  </rcc>
  <rcc rId="141536" sId="1">
    <oc r="N8">
      <v>22</v>
    </oc>
    <nc r="N8">
      <v>25</v>
    </nc>
  </rcc>
  <rcc rId="141537" sId="1">
    <oc r="G9" t="inlineStr">
      <is>
        <t>A319</t>
      </is>
    </oc>
    <nc r="G9" t="inlineStr">
      <is>
        <t>B38M</t>
      </is>
    </nc>
  </rcc>
  <rcc rId="141538" sId="1">
    <oc r="H9" t="inlineStr">
      <is>
        <t>SERVAIR</t>
      </is>
    </oc>
    <nc r="H9" t="inlineStr">
      <is>
        <t>A.A.G.</t>
      </is>
    </nc>
  </rcc>
  <rcc rId="141539" sId="1">
    <oc r="I9">
      <v>160</v>
    </oc>
    <nc r="I9">
      <v>157</v>
    </nc>
  </rcc>
  <rcc rId="141540" sId="1">
    <oc r="J9" t="inlineStr">
      <is>
        <t>N/A</t>
      </is>
    </oc>
    <nc r="J9">
      <v>6</v>
    </nc>
  </rcc>
  <rcc rId="141541" sId="1">
    <oc r="K9">
      <v>160</v>
    </oc>
    <nc r="K9">
      <v>81</v>
    </nc>
  </rcc>
  <rcc rId="141542" sId="1">
    <oc r="L9">
      <v>2</v>
    </oc>
    <nc r="L9">
      <v>16</v>
    </nc>
  </rcc>
  <rcc rId="141543" sId="1">
    <oc r="M9" t="inlineStr">
      <is>
        <t>P6</t>
      </is>
    </oc>
    <nc r="M9" t="inlineStr">
      <is>
        <t>B22</t>
      </is>
    </nc>
  </rcc>
  <rcc rId="141544" sId="1">
    <oc r="N9">
      <v>1</v>
    </oc>
    <nc r="N9">
      <v>22</v>
    </nc>
  </rcc>
  <rcc rId="141545" sId="1">
    <oc r="O9" t="inlineStr">
      <is>
        <t>A</t>
      </is>
    </oc>
    <nc r="O9" t="inlineStr">
      <is>
        <t>B</t>
      </is>
    </nc>
  </rcc>
  <rcc rId="141546" sId="1">
    <oc r="G10" t="inlineStr">
      <is>
        <t>A320</t>
      </is>
    </oc>
    <nc r="G10" t="inlineStr">
      <is>
        <t>B733</t>
      </is>
    </nc>
  </rcc>
  <rcc rId="141547" sId="1">
    <oc r="H10" t="inlineStr">
      <is>
        <t>JETBLUE</t>
      </is>
    </oc>
    <nc r="H10" t="inlineStr">
      <is>
        <t>CARIBE CARGO</t>
      </is>
    </nc>
  </rcc>
  <rcc rId="141548" sId="1">
    <oc r="M10" t="inlineStr">
      <is>
        <t>P11</t>
      </is>
    </oc>
    <nc r="M10" t="inlineStr">
      <is>
        <t>C1</t>
      </is>
    </nc>
  </rcc>
  <rcc rId="141549" sId="1">
    <oc r="O10" t="inlineStr">
      <is>
        <t>A</t>
      </is>
    </oc>
    <nc r="O10" t="inlineStr">
      <is>
        <t>CARGA</t>
      </is>
    </nc>
  </rcc>
  <rcc rId="141550" sId="1">
    <oc r="G11" t="inlineStr">
      <is>
        <t>B38M</t>
      </is>
    </oc>
    <nc r="G11" t="inlineStr">
      <is>
        <t>A320</t>
      </is>
    </nc>
  </rcc>
  <rcc rId="141551" sId="1">
    <oc r="H11" t="inlineStr">
      <is>
        <t>A.A.G.</t>
      </is>
    </oc>
    <nc r="H11" t="inlineStr">
      <is>
        <t>JETBLUE</t>
      </is>
    </nc>
  </rcc>
  <rcc rId="141552" sId="1">
    <oc r="I11">
      <v>142</v>
    </oc>
    <nc r="I11">
      <v>149</v>
    </nc>
  </rcc>
  <rcc rId="141553" sId="1">
    <oc r="K11">
      <v>150</v>
    </oc>
    <nc r="K11">
      <v>84</v>
    </nc>
  </rcc>
  <rcc rId="141554" sId="1">
    <oc r="L11">
      <v>12</v>
    </oc>
    <nc r="L11">
      <v>1</v>
    </nc>
  </rcc>
  <rcc rId="141555" sId="1">
    <oc r="M11" t="inlineStr">
      <is>
        <t>B25</t>
      </is>
    </oc>
    <nc r="M11" t="inlineStr">
      <is>
        <t>P9</t>
      </is>
    </nc>
  </rcc>
  <rcc rId="141556" sId="1">
    <oc r="N11">
      <v>25</v>
    </oc>
    <nc r="N11">
      <v>11</v>
    </nc>
  </rcc>
  <rcc rId="141557" sId="1">
    <oc r="O11" t="inlineStr">
      <is>
        <t>B</t>
      </is>
    </oc>
    <nc r="O11" t="inlineStr">
      <is>
        <t>A</t>
      </is>
    </nc>
  </rcc>
  <rcc rId="141558" sId="1">
    <oc r="G12" t="inlineStr">
      <is>
        <t>A320</t>
      </is>
    </oc>
    <nc r="G12" t="inlineStr">
      <is>
        <t>B38M</t>
      </is>
    </nc>
  </rcc>
  <rcc rId="141559" sId="1">
    <oc r="H12" t="inlineStr">
      <is>
        <t>JETBLUE</t>
      </is>
    </oc>
    <nc r="H12" t="inlineStr">
      <is>
        <t>A.A.G.</t>
      </is>
    </nc>
  </rcc>
  <rcc rId="141560" sId="1">
    <oc r="I12">
      <v>92</v>
    </oc>
    <nc r="I12">
      <v>171</v>
    </nc>
  </rcc>
  <rcc rId="141561" sId="1">
    <oc r="J12" t="inlineStr">
      <is>
        <t>N/A</t>
      </is>
    </oc>
    <nc r="J12">
      <v>18</v>
    </nc>
  </rcc>
  <rcc rId="141562" sId="1">
    <oc r="L12">
      <v>3</v>
    </oc>
    <nc r="L12">
      <v>11</v>
    </nc>
  </rcc>
  <rcc rId="141563" sId="1">
    <oc r="M12" t="inlineStr">
      <is>
        <t>P10</t>
      </is>
    </oc>
    <nc r="M12" t="inlineStr">
      <is>
        <t>B25</t>
      </is>
    </nc>
  </rcc>
  <rcc rId="141564" sId="1">
    <oc r="O12" t="inlineStr">
      <is>
        <t>A</t>
      </is>
    </oc>
    <nc r="O12" t="inlineStr">
      <is>
        <t>B</t>
      </is>
    </nc>
  </rcc>
  <rcc rId="141565" sId="1">
    <oc r="I13">
      <v>200</v>
    </oc>
    <nc r="I13">
      <v>98</v>
    </nc>
  </rcc>
  <rcc rId="141566" sId="1">
    <oc r="K13">
      <v>200</v>
    </oc>
    <nc r="K13">
      <v>80</v>
    </nc>
  </rcc>
  <rcc rId="141567" sId="1">
    <oc r="L13">
      <v>5</v>
    </oc>
    <nc r="L13">
      <v>2</v>
    </nc>
  </rcc>
  <rcc rId="141568" sId="1">
    <oc r="M13" t="inlineStr">
      <is>
        <t>P9</t>
      </is>
    </oc>
    <nc r="M13" t="inlineStr">
      <is>
        <t>P10</t>
      </is>
    </nc>
  </rcc>
  <rcc rId="141569" sId="1">
    <oc r="N13">
      <v>11</v>
    </oc>
    <nc r="N13">
      <v>13</v>
    </nc>
  </rcc>
  <rcc rId="141570" sId="1">
    <oc r="G14" t="inlineStr">
      <is>
        <t>A20N</t>
      </is>
    </oc>
    <nc r="G14" t="inlineStr">
      <is>
        <t>A320</t>
      </is>
    </nc>
  </rcc>
  <rcc rId="141571" sId="1">
    <oc r="H14" t="inlineStr">
      <is>
        <t>CARIPORTS</t>
      </is>
    </oc>
    <nc r="H14" t="inlineStr">
      <is>
        <t>JETBLUE</t>
      </is>
    </nc>
  </rcc>
  <rcc rId="141572" sId="1">
    <oc r="I14">
      <v>126</v>
    </oc>
    <nc r="I14">
      <v>185</v>
    </nc>
  </rcc>
  <rcc rId="141573" sId="1">
    <oc r="K14">
      <v>181</v>
    </oc>
    <nc r="K14">
      <v>196</v>
    </nc>
  </rcc>
  <rcc rId="141574" sId="1">
    <oc r="L14">
      <v>2</v>
    </oc>
    <nc r="L14">
      <v>3</v>
    </nc>
  </rcc>
  <rcc rId="141575" sId="1">
    <oc r="M14" t="inlineStr">
      <is>
        <t>P8</t>
      </is>
    </oc>
    <nc r="M14" t="inlineStr">
      <is>
        <t>P11</t>
      </is>
    </nc>
  </rcc>
  <rcc rId="141576" sId="1">
    <oc r="N14">
      <v>8</v>
    </oc>
    <nc r="N14">
      <v>15</v>
    </nc>
  </rcc>
  <rcc rId="141577" sId="1">
    <oc r="G15" t="inlineStr">
      <is>
        <t>A321</t>
      </is>
    </oc>
    <nc r="G15" t="inlineStr">
      <is>
        <t>B38M</t>
      </is>
    </nc>
  </rcc>
  <rcc rId="141578" sId="1">
    <oc r="H15" t="inlineStr">
      <is>
        <t>CARIPORTS</t>
      </is>
    </oc>
    <nc r="H15" t="inlineStr">
      <is>
        <t>A.A.G.</t>
      </is>
    </nc>
  </rcc>
  <rcc rId="141579" sId="1">
    <oc r="I15">
      <v>214</v>
    </oc>
    <nc r="I15">
      <v>186</v>
    </nc>
  </rcc>
  <rcc rId="141580" sId="1">
    <oc r="J15" t="inlineStr">
      <is>
        <t>N/A</t>
      </is>
    </oc>
    <nc r="J15">
      <v>16</v>
    </nc>
  </rcc>
  <rcc rId="141581" sId="1">
    <oc r="K15">
      <v>181</v>
    </oc>
    <nc r="K15">
      <v>149</v>
    </nc>
  </rcc>
  <rcc rId="141582" sId="1">
    <oc r="L15">
      <v>3</v>
    </oc>
    <nc r="L15">
      <v>11</v>
    </nc>
  </rcc>
  <rcc rId="141583" sId="1">
    <oc r="M15" t="inlineStr">
      <is>
        <t>P7</t>
      </is>
    </oc>
    <nc r="M15" t="inlineStr">
      <is>
        <t>B23B</t>
      </is>
    </nc>
  </rcc>
  <rcc rId="141584" sId="1">
    <oc r="N15">
      <v>6</v>
    </oc>
    <nc r="N15">
      <v>23</v>
    </nc>
  </rcc>
  <rcc rId="141585" sId="1">
    <oc r="O15" t="inlineStr">
      <is>
        <t>A</t>
      </is>
    </oc>
    <nc r="O15" t="inlineStr">
      <is>
        <t>B</t>
      </is>
    </nc>
  </rcc>
  <rcc rId="141586" sId="1">
    <oc r="H16" t="inlineStr">
      <is>
        <t>JETBLUE</t>
      </is>
    </oc>
    <nc r="H16" t="inlineStr">
      <is>
        <t>SERVAIR</t>
      </is>
    </nc>
  </rcc>
  <rcc rId="141587" sId="1">
    <oc r="I16">
      <v>140</v>
    </oc>
    <nc r="I16">
      <v>160</v>
    </nc>
  </rcc>
  <rcc rId="141588" sId="1">
    <oc r="K16">
      <v>140</v>
    </oc>
    <nc r="K16">
      <v>160</v>
    </nc>
  </rcc>
  <rcc rId="141589" sId="1">
    <oc r="L16">
      <v>6</v>
    </oc>
    <nc r="L16">
      <v>1</v>
    </nc>
  </rcc>
  <rcc rId="141590" sId="1">
    <oc r="M16" t="inlineStr">
      <is>
        <t>P11</t>
      </is>
    </oc>
    <nc r="M16" t="inlineStr">
      <is>
        <t>P8</t>
      </is>
    </nc>
  </rcc>
  <rcc rId="141591" sId="1">
    <oc r="N16">
      <v>16</v>
    </oc>
    <nc r="N16">
      <v>9</v>
    </nc>
  </rcc>
  <rcc rId="141592" sId="1">
    <oc r="G17" t="inlineStr">
      <is>
        <t>B737</t>
      </is>
    </oc>
    <nc r="G17" t="inlineStr">
      <is>
        <t>A321</t>
      </is>
    </nc>
  </rcc>
  <rcc rId="141593" sId="1">
    <oc r="H17" t="inlineStr">
      <is>
        <t>A.A.G.</t>
      </is>
    </oc>
    <nc r="H17" t="inlineStr">
      <is>
        <t>CARIPORTS</t>
      </is>
    </nc>
  </rcc>
  <rcc rId="141594" sId="1">
    <oc r="I17">
      <v>183</v>
    </oc>
    <nc r="I17">
      <v>220</v>
    </nc>
  </rcc>
  <rcc rId="141595" sId="1">
    <oc r="K17">
      <v>162</v>
    </oc>
    <nc r="K17">
      <v>169</v>
    </nc>
  </rcc>
  <rcc rId="141596" sId="1">
    <oc r="L17">
      <v>11</v>
    </oc>
    <nc r="L17">
      <v>5</v>
    </nc>
  </rcc>
  <rcc rId="141597" sId="1">
    <oc r="M17" t="inlineStr">
      <is>
        <t>B20</t>
      </is>
    </oc>
    <nc r="M17" t="inlineStr">
      <is>
        <t>P7</t>
      </is>
    </nc>
  </rcc>
  <rcc rId="141598" sId="1">
    <oc r="N17">
      <v>20</v>
    </oc>
    <nc r="N17">
      <v>4</v>
    </nc>
  </rcc>
  <rcc rId="141599" sId="1">
    <oc r="O17" t="inlineStr">
      <is>
        <t>B</t>
      </is>
    </oc>
    <nc r="O17" t="inlineStr">
      <is>
        <t>A</t>
      </is>
    </nc>
  </rcc>
  <rcc rId="141600" sId="1">
    <oc r="G18" t="inlineStr">
      <is>
        <t>A321</t>
      </is>
    </oc>
    <nc r="G18" t="inlineStr">
      <is>
        <t>A20N</t>
      </is>
    </nc>
  </rcc>
  <rcc rId="141601" sId="1">
    <oc r="H18" t="inlineStr">
      <is>
        <t>ENVOY</t>
      </is>
    </oc>
    <nc r="H18" t="inlineStr">
      <is>
        <t>CARIPORTS</t>
      </is>
    </nc>
  </rcc>
  <rcc rId="141602" sId="1">
    <oc r="I18">
      <v>190</v>
    </oc>
    <nc r="I18">
      <v>128</v>
    </nc>
  </rcc>
  <rcc rId="141603" sId="1">
    <oc r="K18">
      <v>187</v>
    </oc>
    <nc r="K18">
      <v>145</v>
    </nc>
  </rcc>
  <rcc rId="141604" sId="1">
    <oc r="L18">
      <v>15</v>
    </oc>
    <nc r="L18">
      <v>3</v>
    </nc>
  </rcc>
  <rcc rId="141605" sId="1">
    <oc r="M18" t="inlineStr">
      <is>
        <t>B31</t>
      </is>
    </oc>
    <nc r="M18" t="inlineStr">
      <is>
        <t>P6</t>
      </is>
    </nc>
  </rcc>
  <rcc rId="141606" sId="1">
    <oc r="N18">
      <v>31</v>
    </oc>
    <nc r="N18">
      <v>1</v>
    </nc>
  </rcc>
  <rcc rId="141607" sId="1">
    <oc r="O18" t="inlineStr">
      <is>
        <t>B</t>
      </is>
    </oc>
    <nc r="O18" t="inlineStr">
      <is>
        <t>A</t>
      </is>
    </nc>
  </rcc>
  <rcc rId="141608" sId="1">
    <oc r="H19" t="inlineStr">
      <is>
        <t>ENVOY</t>
      </is>
    </oc>
    <nc r="H19" t="inlineStr">
      <is>
        <t>JETBLUE</t>
      </is>
    </nc>
  </rcc>
  <rcc rId="141609" sId="1">
    <oc r="I19">
      <v>164</v>
    </oc>
    <nc r="I19">
      <v>117</v>
    </nc>
  </rcc>
  <rcc rId="141610" sId="1">
    <oc r="K19">
      <v>172</v>
    </oc>
    <nc r="K19">
      <v>136</v>
    </nc>
  </rcc>
  <rcc rId="141611" sId="1">
    <oc r="L19">
      <v>15</v>
    </oc>
    <nc r="L19">
      <v>6</v>
    </nc>
  </rcc>
  <rcc rId="141612" sId="1">
    <oc r="M19" t="inlineStr">
      <is>
        <t>B28</t>
      </is>
    </oc>
    <nc r="M19" t="inlineStr">
      <is>
        <t>P9</t>
      </is>
    </nc>
  </rcc>
  <rcc rId="141613" sId="1">
    <oc r="N19">
      <v>28</v>
    </oc>
    <nc r="N19">
      <v>12</v>
    </nc>
  </rcc>
  <rcc rId="141614" sId="1">
    <oc r="O19" t="inlineStr">
      <is>
        <t>B</t>
      </is>
    </oc>
    <nc r="O19" t="inlineStr">
      <is>
        <t>A</t>
      </is>
    </nc>
  </rcc>
  <rcc rId="141615" sId="1">
    <oc r="G20" t="inlineStr">
      <is>
        <t>A321</t>
      </is>
    </oc>
    <nc r="G20" t="inlineStr">
      <is>
        <t>B737</t>
      </is>
    </nc>
  </rcc>
  <rcc rId="141616" sId="1">
    <oc r="H20" t="inlineStr">
      <is>
        <t>JETBLUE</t>
      </is>
    </oc>
    <nc r="H20" t="inlineStr">
      <is>
        <t>A.A.G.</t>
      </is>
    </nc>
  </rcc>
  <rcc rId="141617" sId="1">
    <oc r="I20">
      <v>197</v>
    </oc>
    <nc r="I20">
      <v>171</v>
    </nc>
  </rcc>
  <rcc rId="141618" sId="1">
    <oc r="K20">
      <v>200</v>
    </oc>
    <nc r="K20">
      <v>159</v>
    </nc>
  </rcc>
  <rcc rId="141619" sId="1">
    <oc r="L20">
      <v>2</v>
    </oc>
    <nc r="L20">
      <v>12</v>
    </nc>
  </rcc>
  <rcc rId="141620" sId="1">
    <oc r="M20" t="inlineStr">
      <is>
        <t>P10</t>
      </is>
    </oc>
    <nc r="M20" t="inlineStr">
      <is>
        <t>B26A</t>
      </is>
    </nc>
  </rcc>
  <rcc rId="141621" sId="1">
    <oc r="N20">
      <v>13</v>
    </oc>
    <nc r="N20">
      <v>26</v>
    </nc>
  </rcc>
  <rcc rId="141622" sId="1">
    <oc r="O20" t="inlineStr">
      <is>
        <t>A</t>
      </is>
    </oc>
    <nc r="O20" t="inlineStr">
      <is>
        <t>B</t>
      </is>
    </nc>
  </rcc>
  <rcc rId="141623" sId="1">
    <oc r="I21">
      <v>127</v>
    </oc>
    <nc r="I21">
      <v>193</v>
    </nc>
  </rcc>
  <rcc rId="141624" sId="1">
    <oc r="K21">
      <v>187</v>
    </oc>
    <nc r="K21">
      <v>183</v>
    </nc>
  </rcc>
  <rcc rId="141625" sId="1">
    <oc r="L21">
      <v>16</v>
    </oc>
    <nc r="L21">
      <v>15</v>
    </nc>
  </rcc>
  <rcc rId="141626" sId="1">
    <oc r="M21" t="inlineStr">
      <is>
        <t>B32</t>
      </is>
    </oc>
    <nc r="M21" t="inlineStr">
      <is>
        <t>B27</t>
      </is>
    </nc>
  </rcc>
  <rcc rId="141627" sId="1">
    <oc r="N21">
      <v>32</v>
    </oc>
    <nc r="N21">
      <v>27</v>
    </nc>
  </rcc>
  <rcc rId="141628" sId="1">
    <oc r="G22" t="inlineStr">
      <is>
        <t>A321</t>
      </is>
    </oc>
    <nc r="G22" t="inlineStr">
      <is>
        <t>B738</t>
      </is>
    </nc>
  </rcc>
  <rcc rId="141629" sId="1">
    <oc r="H22" t="inlineStr">
      <is>
        <t>CARIPORTS</t>
      </is>
    </oc>
    <nc r="H22" t="inlineStr">
      <is>
        <t>ENVOY</t>
      </is>
    </nc>
  </rcc>
  <rcc rId="141630" sId="1">
    <oc r="I22">
      <v>72</v>
    </oc>
    <nc r="I22">
      <v>141</v>
    </nc>
  </rcc>
  <rcc rId="141631" sId="1">
    <oc r="K22">
      <v>237</v>
    </oc>
    <nc r="K22">
      <v>169</v>
    </nc>
  </rcc>
  <rcc rId="141632" sId="1">
    <oc r="L22">
      <v>1</v>
    </oc>
    <nc r="L22">
      <v>15</v>
    </nc>
  </rcc>
  <rcc rId="141633" sId="1">
    <oc r="M22" t="inlineStr">
      <is>
        <t>P6</t>
      </is>
    </oc>
    <nc r="M22" t="inlineStr">
      <is>
        <t>B28</t>
      </is>
    </nc>
  </rcc>
  <rcc rId="141634" sId="1">
    <oc r="N22">
      <v>4</v>
    </oc>
    <nc r="N22">
      <v>28</v>
    </nc>
  </rcc>
  <rcc rId="141635" sId="1">
    <oc r="O22" t="inlineStr">
      <is>
        <t>A</t>
      </is>
    </oc>
    <nc r="O22" t="inlineStr">
      <is>
        <t>B</t>
      </is>
    </nc>
  </rcc>
  <rcc rId="141636" sId="1">
    <oc r="G23" t="inlineStr">
      <is>
        <t>B737</t>
      </is>
    </oc>
    <nc r="G23" t="inlineStr">
      <is>
        <t>A321</t>
      </is>
    </nc>
  </rcc>
  <rcc rId="141637" sId="1">
    <oc r="H23" t="inlineStr">
      <is>
        <t>A.A.G.</t>
      </is>
    </oc>
    <nc r="H23" t="inlineStr">
      <is>
        <t>JETBLUE</t>
      </is>
    </nc>
  </rcc>
  <rcc rId="141638" sId="1">
    <oc r="I23">
      <v>180</v>
    </oc>
    <nc r="I23">
      <v>182</v>
    </nc>
  </rcc>
  <rcc rId="141639" sId="1">
    <oc r="K23">
      <v>164</v>
    </oc>
    <nc r="K23">
      <v>196</v>
    </nc>
  </rcc>
  <rcc rId="141640" sId="1">
    <oc r="L23">
      <v>11</v>
    </oc>
    <nc r="L23">
      <v>6</v>
    </nc>
  </rcc>
  <rcc rId="141641" sId="1">
    <oc r="M23" t="inlineStr">
      <is>
        <t>B24</t>
      </is>
    </oc>
    <nc r="M23" t="inlineStr">
      <is>
        <t>P10</t>
      </is>
    </nc>
  </rcc>
  <rcc rId="141642" sId="1">
    <oc r="N23">
      <v>24</v>
    </oc>
    <nc r="N23">
      <v>13</v>
    </nc>
  </rcc>
  <rcc rId="141643" sId="1">
    <oc r="O23" t="inlineStr">
      <is>
        <t>B</t>
      </is>
    </oc>
    <nc r="O23" t="inlineStr">
      <is>
        <t>A</t>
      </is>
    </nc>
  </rcc>
  <rcc rId="141644" sId="1">
    <oc r="G24" t="inlineStr">
      <is>
        <t>B738</t>
      </is>
    </oc>
    <nc r="G24" t="inlineStr">
      <is>
        <t>A321</t>
      </is>
    </nc>
  </rcc>
  <rcc rId="141645" sId="1">
    <oc r="I24">
      <v>156</v>
    </oc>
    <nc r="I24">
      <v>141</v>
    </nc>
  </rcc>
  <rcc rId="141646" sId="1">
    <oc r="K24">
      <v>173</v>
    </oc>
    <nc r="K24">
      <v>149</v>
    </nc>
  </rcc>
  <rcc rId="141647" sId="1">
    <oc r="M24" t="inlineStr">
      <is>
        <t>B27</t>
      </is>
    </oc>
    <nc r="M24" t="inlineStr">
      <is>
        <t>B31</t>
      </is>
    </nc>
  </rcc>
  <rcc rId="141648" sId="1">
    <oc r="N24">
      <v>27</v>
    </oc>
    <nc r="N24">
      <v>31</v>
    </nc>
  </rcc>
  <rcc rId="141649" sId="1">
    <oc r="G25" t="inlineStr">
      <is>
        <t>B38M</t>
      </is>
    </oc>
    <nc r="G25" t="inlineStr">
      <is>
        <t>B737</t>
      </is>
    </nc>
  </rcc>
  <rcc rId="141650" sId="1">
    <oc r="I25">
      <v>177</v>
    </oc>
    <nc r="I25">
      <v>190</v>
    </nc>
  </rcc>
  <rcc rId="141651" sId="1">
    <oc r="K25">
      <v>150</v>
    </oc>
    <nc r="K25">
      <v>162</v>
    </nc>
  </rcc>
  <rcc rId="141652" sId="1">
    <oc r="L25">
      <v>12</v>
    </oc>
    <nc r="L25">
      <v>11</v>
    </nc>
  </rcc>
  <rcc rId="141653" sId="1">
    <oc r="G26" t="inlineStr">
      <is>
        <t>A320</t>
      </is>
    </oc>
    <nc r="G26" t="inlineStr">
      <is>
        <t>B38M</t>
      </is>
    </nc>
  </rcc>
  <rcc rId="141654" sId="1">
    <oc r="H26" t="inlineStr">
      <is>
        <t>AVIANCA</t>
      </is>
    </oc>
    <nc r="H26" t="inlineStr">
      <is>
        <t>A.A.G.</t>
      </is>
    </nc>
  </rcc>
  <rcc rId="141655" sId="1">
    <oc r="I26">
      <v>173</v>
    </oc>
    <nc r="I26">
      <v>107</v>
    </nc>
  </rcc>
  <rcc rId="141656" sId="1">
    <oc r="J26" t="inlineStr">
      <is>
        <t>N/A</t>
      </is>
    </oc>
    <nc r="J26">
      <v>39</v>
    </nc>
  </rcc>
  <rcc rId="141657" sId="1">
    <oc r="K26">
      <v>179</v>
    </oc>
    <nc r="K26">
      <v>69</v>
    </nc>
  </rcc>
  <rcc rId="141658" sId="1">
    <oc r="L26">
      <v>1</v>
    </oc>
    <nc r="L26">
      <v>13</v>
    </nc>
  </rcc>
  <rcc rId="141659" sId="1">
    <oc r="M26" t="inlineStr">
      <is>
        <t>P5</t>
      </is>
    </oc>
    <nc r="M26" t="inlineStr">
      <is>
        <t>B23A</t>
      </is>
    </nc>
  </rcc>
  <rcc rId="141660" sId="1">
    <oc r="N26">
      <v>3</v>
    </oc>
    <nc r="N26" t="inlineStr">
      <is>
        <t>26C</t>
      </is>
    </nc>
  </rcc>
  <rcc rId="141661" sId="1">
    <oc r="O26" t="inlineStr">
      <is>
        <t>A</t>
      </is>
    </oc>
    <nc r="O26" t="inlineStr">
      <is>
        <t>B</t>
      </is>
    </nc>
  </rcc>
  <rcc rId="141662" sId="1">
    <oc r="G27" t="inlineStr">
      <is>
        <t>B38M</t>
      </is>
    </oc>
    <nc r="G27" t="inlineStr">
      <is>
        <t>B738</t>
      </is>
    </nc>
  </rcc>
  <rcc rId="141663" sId="1">
    <oc r="H27" t="inlineStr">
      <is>
        <t>A.A.G.</t>
      </is>
    </oc>
    <nc r="H27" t="inlineStr">
      <is>
        <t>ENVOY</t>
      </is>
    </nc>
  </rcc>
  <rcc rId="141664" sId="1">
    <oc r="I27">
      <v>156</v>
    </oc>
    <nc r="I27">
      <v>133</v>
    </nc>
  </rcc>
  <rcc rId="141665" sId="1">
    <oc r="K27">
      <v>182</v>
    </oc>
    <nc r="K27">
      <v>154</v>
    </nc>
  </rcc>
  <rcc rId="141666" sId="1">
    <oc r="L27">
      <v>13</v>
    </oc>
    <nc r="L27">
      <v>16</v>
    </nc>
  </rcc>
  <rcc rId="141667" sId="1">
    <oc r="M27" t="inlineStr">
      <is>
        <t>B21</t>
      </is>
    </oc>
    <nc r="M27" t="inlineStr">
      <is>
        <t>B30</t>
      </is>
    </nc>
  </rcc>
  <rcc rId="141668" sId="1">
    <oc r="N27">
      <v>21</v>
    </oc>
    <nc r="N27">
      <v>30</v>
    </nc>
  </rcc>
  <rcc rId="141669" sId="1">
    <oc r="G28" t="inlineStr">
      <is>
        <t>MD82</t>
      </is>
    </oc>
    <nc r="G28" t="inlineStr">
      <is>
        <t>B38M</t>
      </is>
    </nc>
  </rcc>
  <rcc rId="141670" sId="1">
    <oc r="I28" t="inlineStr">
      <is>
        <t>N/A</t>
      </is>
    </oc>
    <nc r="I28">
      <v>87</v>
    </nc>
  </rcc>
  <rcc rId="141671" sId="1">
    <oc r="J28" t="inlineStr">
      <is>
        <t>N/A</t>
      </is>
    </oc>
    <nc r="J28">
      <v>20</v>
    </nc>
  </rcc>
  <rcc rId="141672" sId="1">
    <oc r="K28" t="inlineStr">
      <is>
        <t>N/A</t>
      </is>
    </oc>
    <nc r="K28">
      <v>173</v>
    </nc>
  </rcc>
  <rcc rId="141673" sId="1">
    <oc r="L28" t="inlineStr">
      <is>
        <t>N/A</t>
      </is>
    </oc>
    <nc r="L28">
      <v>13</v>
    </nc>
  </rcc>
  <rcc rId="141674" sId="1">
    <oc r="M28" t="inlineStr">
      <is>
        <t>N5</t>
      </is>
    </oc>
    <nc r="M28" t="inlineStr">
      <is>
        <t>B21</t>
      </is>
    </nc>
  </rcc>
  <rcc rId="141675" sId="1">
    <oc r="N28" t="inlineStr">
      <is>
        <t>N/A</t>
      </is>
    </oc>
    <nc r="N28" t="inlineStr">
      <is>
        <t>26D</t>
      </is>
    </nc>
  </rcc>
  <rcc rId="141676" sId="1">
    <oc r="O28" t="inlineStr">
      <is>
        <t>A</t>
      </is>
    </oc>
    <nc r="O28" t="inlineStr">
      <is>
        <t>B</t>
      </is>
    </nc>
  </rcc>
  <rcc rId="141677" sId="1">
    <oc r="G29" t="inlineStr">
      <is>
        <t>B38M</t>
      </is>
    </oc>
    <nc r="G29" t="inlineStr">
      <is>
        <t>A320</t>
      </is>
    </nc>
  </rcc>
  <rcc rId="141678" sId="1">
    <oc r="H29" t="inlineStr">
      <is>
        <t>A.A.G.</t>
      </is>
    </oc>
    <nc r="H29" t="inlineStr">
      <is>
        <t>AVIANCA</t>
      </is>
    </nc>
  </rcc>
  <rcc rId="141679" sId="1">
    <oc r="I29">
      <v>147</v>
    </oc>
    <nc r="I29">
      <v>156</v>
    </nc>
  </rcc>
  <rcc rId="141680" sId="1">
    <oc r="K29">
      <v>166</v>
    </oc>
    <nc r="K29">
      <v>173</v>
    </nc>
  </rcc>
  <rcc rId="141681" sId="1">
    <oc r="L29">
      <v>13</v>
    </oc>
    <nc r="L29">
      <v>2</v>
    </nc>
  </rcc>
  <rcc rId="141682" sId="1">
    <oc r="M29" t="inlineStr">
      <is>
        <t>B37</t>
      </is>
    </oc>
    <nc r="M29" t="inlineStr">
      <is>
        <t>P5</t>
      </is>
    </nc>
  </rcc>
  <rcc rId="141683" sId="1">
    <oc r="N29" t="inlineStr">
      <is>
        <t>26D</t>
      </is>
    </oc>
    <nc r="N29">
      <v>2</v>
    </nc>
  </rcc>
  <rcc rId="141684" sId="1">
    <oc r="O29" t="inlineStr">
      <is>
        <t>B</t>
      </is>
    </oc>
    <nc r="O29" t="inlineStr">
      <is>
        <t>A</t>
      </is>
    </nc>
  </rcc>
  <rcc rId="141685" sId="1">
    <oc r="G30" t="inlineStr">
      <is>
        <t>A321</t>
      </is>
    </oc>
    <nc r="G30" t="inlineStr">
      <is>
        <t>B38M</t>
      </is>
    </nc>
  </rcc>
  <rcc rId="141686" sId="1">
    <oc r="H30" t="inlineStr">
      <is>
        <t>SERVAIR</t>
      </is>
    </oc>
    <nc r="H30" t="inlineStr">
      <is>
        <t>A.A.G.</t>
      </is>
    </nc>
  </rcc>
  <rcc rId="141687" sId="1">
    <oc r="I30">
      <v>181</v>
    </oc>
    <nc r="I30">
      <v>129</v>
    </nc>
  </rcc>
  <rcc rId="141688" sId="1">
    <oc r="J30" t="inlineStr">
      <is>
        <t>N/A</t>
      </is>
    </oc>
    <nc r="J30">
      <v>6</v>
    </nc>
  </rcc>
  <rcc rId="141689" sId="1">
    <oc r="K30">
      <v>185</v>
    </oc>
    <nc r="K30">
      <v>150</v>
    </nc>
  </rcc>
  <rcc rId="141690" sId="1">
    <oc r="L30">
      <v>18</v>
    </oc>
    <nc r="L30">
      <v>11</v>
    </nc>
  </rcc>
  <rcc rId="141691" sId="1">
    <oc r="M30" t="inlineStr">
      <is>
        <t>B30</t>
      </is>
    </oc>
    <nc r="M30" t="inlineStr">
      <is>
        <t>B36</t>
      </is>
    </nc>
  </rcc>
  <rcc rId="141692" sId="1">
    <oc r="N30">
      <v>30</v>
    </oc>
    <nc r="N30">
      <v>25</v>
    </nc>
  </rcc>
  <rcc rId="141693" sId="1">
    <oc r="G31" t="inlineStr">
      <is>
        <t>B737</t>
      </is>
    </oc>
    <nc r="G31" t="inlineStr">
      <is>
        <t>A321</t>
      </is>
    </nc>
  </rcc>
  <rcc rId="141694" sId="1">
    <oc r="H31" t="inlineStr">
      <is>
        <t>A.A.G.</t>
      </is>
    </oc>
    <nc r="H31" t="inlineStr">
      <is>
        <t>SERVAIR</t>
      </is>
    </nc>
  </rcc>
  <rcc rId="141695" sId="1">
    <oc r="I31">
      <v>178</v>
    </oc>
    <nc r="I31">
      <v>190</v>
    </nc>
  </rcc>
  <rcc rId="141696" sId="1">
    <oc r="K31">
      <v>158</v>
    </oc>
    <nc r="K31">
      <v>175</v>
    </nc>
  </rcc>
  <rcc rId="141697" sId="1">
    <oc r="L31">
      <v>12</v>
    </oc>
    <nc r="L31">
      <v>18</v>
    </nc>
  </rcc>
  <rcc rId="141698" sId="1">
    <oc r="M31" t="inlineStr">
      <is>
        <t>B26A</t>
      </is>
    </oc>
    <nc r="M31" t="inlineStr">
      <is>
        <t>B32</t>
      </is>
    </nc>
  </rcc>
  <rcc rId="141699" sId="1">
    <oc r="N31">
      <v>26</v>
    </oc>
    <nc r="N31">
      <v>32</v>
    </nc>
  </rcc>
  <rcc rId="141700" sId="1">
    <oc r="H32" t="inlineStr">
      <is>
        <t>AVIANCA</t>
      </is>
    </oc>
    <nc r="H32" t="inlineStr">
      <is>
        <t>TRADING AVIATION</t>
      </is>
    </nc>
  </rcc>
  <rcc rId="141701" sId="1">
    <oc r="I32">
      <v>167</v>
    </oc>
    <nc r="I32">
      <v>181</v>
    </nc>
  </rcc>
  <rcc rId="141702" sId="1">
    <oc r="K32">
      <v>174</v>
    </oc>
    <nc r="K32">
      <v>120</v>
    </nc>
  </rcc>
  <rcc rId="141703" sId="1">
    <oc r="L32">
      <v>2</v>
    </oc>
    <nc r="L32">
      <v>1</v>
    </nc>
  </rcc>
  <rcc rId="141704" sId="1">
    <oc r="M32" t="inlineStr">
      <is>
        <t>P4</t>
      </is>
    </oc>
    <nc r="M32" t="inlineStr">
      <is>
        <t>P11</t>
      </is>
    </nc>
  </rcc>
  <rcc rId="141705" sId="1">
    <oc r="N32">
      <v>1</v>
    </oc>
    <nc r="N32">
      <v>16</v>
    </nc>
  </rcc>
  <rcc rId="141706" sId="1">
    <oc r="G33" t="inlineStr">
      <is>
        <t>A319</t>
      </is>
    </oc>
    <nc r="G33" t="inlineStr">
      <is>
        <t>B38M</t>
      </is>
    </nc>
  </rcc>
  <rcc rId="141707" sId="1">
    <oc r="H33" t="inlineStr">
      <is>
        <t>CARIPORTS</t>
      </is>
    </oc>
    <nc r="H33" t="inlineStr">
      <is>
        <t>A.A.G.</t>
      </is>
    </nc>
  </rcc>
  <rcc rId="141708" sId="1">
    <oc r="K33">
      <v>131</v>
    </oc>
    <nc r="K33">
      <v>164</v>
    </nc>
  </rcc>
  <rcc rId="141709" sId="1">
    <oc r="L33">
      <v>3</v>
    </oc>
    <nc r="L33">
      <v>11</v>
    </nc>
  </rcc>
  <rcc rId="141710" sId="1">
    <oc r="M33" t="inlineStr">
      <is>
        <t>P9</t>
      </is>
    </oc>
    <nc r="M33" t="inlineStr">
      <is>
        <t>B24</t>
      </is>
    </nc>
  </rcc>
  <rcc rId="141711" sId="1">
    <oc r="N33">
      <v>12</v>
    </oc>
    <nc r="N33">
      <v>21</v>
    </nc>
  </rcc>
  <rcc rId="141712" sId="1">
    <oc r="O33" t="inlineStr">
      <is>
        <t>A</t>
      </is>
    </oc>
    <nc r="O33" t="inlineStr">
      <is>
        <t>B</t>
      </is>
    </nc>
  </rcc>
  <rcc rId="141713" sId="1">
    <oc r="G34" t="inlineStr">
      <is>
        <t>B38M</t>
      </is>
    </oc>
    <nc r="G34" t="inlineStr">
      <is>
        <t>B737</t>
      </is>
    </nc>
  </rcc>
  <rcc rId="141714" sId="1">
    <oc r="I34">
      <v>153</v>
    </oc>
    <nc r="I34">
      <v>175</v>
    </nc>
  </rcc>
  <rcc rId="141715" sId="1">
    <oc r="K34">
      <v>142</v>
    </oc>
    <nc r="K34">
      <v>156</v>
    </nc>
  </rcc>
  <rcc rId="141716" sId="1">
    <oc r="L34">
      <v>12</v>
    </oc>
    <nc r="L34">
      <v>11</v>
    </nc>
  </rcc>
  <rcc rId="141717" sId="1">
    <oc r="M34" t="inlineStr">
      <is>
        <t>B22</t>
      </is>
    </oc>
    <nc r="M34" t="inlineStr">
      <is>
        <t>B20</t>
      </is>
    </nc>
  </rcc>
  <rcc rId="141718" sId="1">
    <oc r="N34">
      <v>22</v>
    </oc>
    <nc r="N34">
      <v>20</v>
    </nc>
  </rcc>
  <rcc rId="141719" sId="1">
    <oc r="G35" t="inlineStr">
      <is>
        <t>A321</t>
      </is>
    </oc>
    <nc r="G35" t="inlineStr">
      <is>
        <t>A320</t>
      </is>
    </nc>
  </rcc>
  <rcc rId="141720" sId="1">
    <oc r="H35" t="inlineStr">
      <is>
        <t>JETBLUE</t>
      </is>
    </oc>
    <nc r="H35" t="inlineStr">
      <is>
        <t>AVIANCA</t>
      </is>
    </nc>
  </rcc>
  <rcc rId="141721" sId="1">
    <oc r="I35">
      <v>199</v>
    </oc>
    <nc r="I35">
      <v>172</v>
    </nc>
  </rcc>
  <rcc rId="141722" sId="1">
    <oc r="K35">
      <v>197</v>
    </oc>
    <nc r="K35">
      <v>175</v>
    </nc>
  </rcc>
  <rcc rId="141723" sId="1">
    <oc r="L35">
      <v>6</v>
    </oc>
    <nc r="L35">
      <v>3</v>
    </nc>
  </rcc>
  <rcc rId="141724" sId="1">
    <oc r="M35" t="inlineStr">
      <is>
        <t>P11</t>
      </is>
    </oc>
    <nc r="M35" t="inlineStr">
      <is>
        <t>P8</t>
      </is>
    </nc>
  </rcc>
  <rcc rId="141725" sId="1">
    <oc r="N35">
      <v>15</v>
    </oc>
    <nc r="N35">
      <v>8</v>
    </nc>
  </rcc>
  <rcc rId="141726" sId="1">
    <oc r="G36" t="inlineStr">
      <is>
        <t>A320</t>
      </is>
    </oc>
    <nc r="G36" t="inlineStr">
      <is>
        <t>B38M</t>
      </is>
    </nc>
  </rcc>
  <rcc rId="141727" sId="1">
    <oc r="H36" t="inlineStr">
      <is>
        <t>JETBLUE</t>
      </is>
    </oc>
    <nc r="H36" t="inlineStr">
      <is>
        <t>A.A.G.</t>
      </is>
    </nc>
  </rcc>
  <rcc rId="141728" sId="1">
    <oc r="I36">
      <v>162</v>
    </oc>
    <nc r="I36">
      <v>115</v>
    </nc>
  </rcc>
  <rcc rId="141729" sId="1">
    <oc r="J36" t="inlineStr">
      <is>
        <t>N/A</t>
      </is>
    </oc>
    <nc r="J36">
      <v>28</v>
    </nc>
  </rcc>
  <rcc rId="141730" sId="1">
    <oc r="K36">
      <v>154</v>
    </oc>
    <nc r="K36">
      <v>150</v>
    </nc>
  </rcc>
  <rcc rId="141731" sId="1">
    <oc r="L36">
      <v>6</v>
    </oc>
    <nc r="L36">
      <v>12</v>
    </nc>
  </rcc>
  <rcc rId="141732" sId="1">
    <oc r="M36" t="inlineStr">
      <is>
        <t>P8</t>
      </is>
    </oc>
    <nc r="M36" t="inlineStr">
      <is>
        <t>B25</t>
      </is>
    </nc>
  </rcc>
  <rcc rId="141733" sId="1">
    <oc r="N36">
      <v>9</v>
    </oc>
    <nc r="N36">
      <v>24</v>
    </nc>
  </rcc>
  <rcc rId="141734" sId="1">
    <oc r="O36" t="inlineStr">
      <is>
        <t>A</t>
      </is>
    </oc>
    <nc r="O36" t="inlineStr">
      <is>
        <t>B</t>
      </is>
    </nc>
  </rcc>
  <rcc rId="141735" sId="1">
    <oc r="G37" t="inlineStr">
      <is>
        <t>B39M</t>
      </is>
    </oc>
    <nc r="G37" t="inlineStr">
      <is>
        <t>B38M</t>
      </is>
    </nc>
  </rcc>
  <rcc rId="141736" sId="1">
    <oc r="H37" t="inlineStr">
      <is>
        <t>UNITED</t>
      </is>
    </oc>
    <nc r="H37" t="inlineStr">
      <is>
        <t>A.A.G.</t>
      </is>
    </nc>
  </rcc>
  <rcc rId="141737" sId="1">
    <oc r="I37">
      <v>160</v>
    </oc>
    <nc r="I37">
      <v>129</v>
    </nc>
  </rcc>
  <rcc rId="141738" sId="1">
    <oc r="K37">
      <v>162</v>
    </oc>
    <nc r="K37">
      <v>183</v>
    </nc>
  </rcc>
  <rcc rId="141739" sId="1">
    <oc r="L37">
      <v>11</v>
    </oc>
    <nc r="L37">
      <v>12</v>
    </nc>
  </rcc>
  <rcc rId="141740" sId="1">
    <oc r="M37" t="inlineStr">
      <is>
        <t>B23B</t>
      </is>
    </oc>
    <nc r="M37" t="inlineStr">
      <is>
        <t>B26A</t>
      </is>
    </nc>
  </rcc>
  <rcc rId="141741" sId="1">
    <oc r="N37">
      <v>23</v>
    </oc>
    <nc r="N37">
      <v>25</v>
    </nc>
  </rcc>
  <rcc rId="141742" sId="1">
    <oc r="G38" t="inlineStr">
      <is>
        <t>B738</t>
      </is>
    </oc>
    <nc r="G38" t="inlineStr">
      <is>
        <t>B38M</t>
      </is>
    </nc>
  </rcc>
  <rcc rId="141743" sId="1">
    <oc r="I38">
      <v>172</v>
    </oc>
    <nc r="I38">
      <v>91</v>
    </nc>
  </rcc>
  <rcc rId="141744" sId="1">
    <oc r="J38" t="inlineStr">
      <is>
        <t>N/A</t>
      </is>
    </oc>
    <nc r="J38">
      <v>31</v>
    </nc>
  </rcc>
  <rcc rId="141745" sId="1">
    <oc r="K38">
      <v>160</v>
    </oc>
    <nc r="K38">
      <v>158</v>
    </nc>
  </rcc>
  <rcc rId="141746" sId="1">
    <oc r="L38">
      <v>11</v>
    </oc>
    <nc r="L38">
      <v>13</v>
    </nc>
  </rcc>
  <rcc rId="141747" sId="1">
    <oc r="M38" t="inlineStr">
      <is>
        <t>B20</t>
      </is>
    </oc>
    <nc r="M38" t="inlineStr">
      <is>
        <t>N9</t>
      </is>
    </nc>
  </rcc>
  <rcc rId="141748" sId="1">
    <oc r="N38">
      <v>20</v>
    </oc>
    <nc r="N38" t="inlineStr">
      <is>
        <t>26E</t>
      </is>
    </nc>
  </rcc>
  <rcc rId="141749" sId="1">
    <oc r="G39" t="inlineStr">
      <is>
        <t>A320</t>
      </is>
    </oc>
    <nc r="G39" t="inlineStr">
      <is>
        <t>A321</t>
      </is>
    </nc>
  </rcc>
  <rcc rId="141750" sId="1">
    <oc r="H39" t="inlineStr">
      <is>
        <t>SERVAIR</t>
      </is>
    </oc>
    <nc r="H39" t="inlineStr">
      <is>
        <t>JETBLUE</t>
      </is>
    </nc>
  </rcc>
  <rcc rId="141751" sId="1">
    <oc r="I39">
      <v>179</v>
    </oc>
    <nc r="I39">
      <v>183</v>
    </nc>
  </rcc>
  <rcc rId="141752" sId="1">
    <oc r="K39">
      <v>189</v>
    </oc>
    <nc r="K39">
      <v>196</v>
    </nc>
  </rcc>
  <rcc rId="141753" sId="1">
    <oc r="L39">
      <v>15</v>
    </oc>
    <nc r="L39">
      <v>5</v>
    </nc>
  </rcc>
  <rcc rId="141754" sId="1">
    <oc r="M39" t="inlineStr">
      <is>
        <t>B31</t>
      </is>
    </oc>
    <nc r="M39" t="inlineStr">
      <is>
        <t>P9</t>
      </is>
    </nc>
  </rcc>
  <rcc rId="141755" sId="1">
    <oc r="N39">
      <v>31</v>
    </oc>
    <nc r="N39">
      <v>12</v>
    </nc>
  </rcc>
  <rcc rId="141756" sId="1">
    <oc r="O39" t="inlineStr">
      <is>
        <t>B</t>
      </is>
    </oc>
    <nc r="O39" t="inlineStr">
      <is>
        <t>A</t>
      </is>
    </nc>
  </rcc>
  <rcc rId="141757" sId="1">
    <oc r="I40">
      <v>148</v>
    </oc>
    <nc r="I40">
      <v>155</v>
    </nc>
  </rcc>
  <rcc rId="141758" sId="1">
    <oc r="K40">
      <v>162</v>
    </oc>
    <nc r="K40">
      <v>196</v>
    </nc>
  </rcc>
  <rcc rId="141759" sId="1">
    <oc r="L40">
      <v>5</v>
    </oc>
    <nc r="L40">
      <v>3</v>
    </nc>
  </rcc>
  <rcc rId="141760" sId="1">
    <oc r="M40" t="inlineStr">
      <is>
        <t>P10</t>
      </is>
    </oc>
    <nc r="M40" t="inlineStr">
      <is>
        <t>P7</t>
      </is>
    </nc>
  </rcc>
  <rcc rId="141761" sId="1">
    <oc r="N40">
      <v>13</v>
    </oc>
    <nc r="N40">
      <v>10</v>
    </nc>
  </rcc>
  <rcc rId="141762" sId="1">
    <oc r="G41" t="inlineStr">
      <is>
        <t>B737</t>
      </is>
    </oc>
    <nc r="G41" t="inlineStr">
      <is>
        <t>B39M</t>
      </is>
    </nc>
  </rcc>
  <rcc rId="141763" sId="1">
    <oc r="H41" t="inlineStr">
      <is>
        <t>TRADING AVIATION</t>
      </is>
    </oc>
    <nc r="H41" t="inlineStr">
      <is>
        <t>UNITED</t>
      </is>
    </nc>
  </rcc>
  <rcc rId="141764" sId="1">
    <oc r="I41">
      <v>166</v>
    </oc>
    <nc r="I41">
      <v>157</v>
    </nc>
  </rcc>
  <rcc rId="141765" sId="1">
    <oc r="K41">
      <v>175</v>
    </oc>
    <nc r="K41">
      <v>139</v>
    </nc>
  </rcc>
  <rcc rId="141766" sId="1">
    <oc r="M41" t="inlineStr">
      <is>
        <t>B25</t>
      </is>
    </oc>
    <nc r="M41" t="inlineStr">
      <is>
        <t>B22</t>
      </is>
    </nc>
  </rcc>
  <rcc rId="141767" sId="1">
    <oc r="N41">
      <v>25</v>
    </oc>
    <nc r="N41">
      <v>22</v>
    </nc>
  </rcc>
  <rcc rId="141768" sId="1">
    <oc r="G42" t="inlineStr">
      <is>
        <t>B39M</t>
      </is>
    </oc>
    <nc r="G42" t="inlineStr">
      <is>
        <t>B738</t>
      </is>
    </nc>
  </rcc>
  <rcc rId="141769" sId="1">
    <oc r="H42" t="inlineStr">
      <is>
        <t>UNITED</t>
      </is>
    </oc>
    <nc r="H42" t="inlineStr">
      <is>
        <t>A.A.G.</t>
      </is>
    </nc>
  </rcc>
  <rcc rId="141770" sId="1">
    <oc r="I42">
      <v>178</v>
    </oc>
    <nc r="I42">
      <v>169</v>
    </nc>
  </rcc>
  <rcc rId="141771" sId="1">
    <oc r="K42">
      <v>168</v>
    </oc>
    <nc r="K42">
      <v>155</v>
    </nc>
  </rcc>
  <rcc rId="141772" sId="1">
    <oc r="L42">
      <v>12</v>
    </oc>
    <nc r="L42">
      <v>13</v>
    </nc>
  </rcc>
  <rcc rId="141773" sId="1">
    <oc r="M42" t="inlineStr">
      <is>
        <t>B23A</t>
      </is>
    </oc>
    <nc r="M42" t="inlineStr">
      <is>
        <t>B26A</t>
      </is>
    </nc>
  </rcc>
  <rcc rId="141774" sId="1">
    <oc r="N42" t="inlineStr">
      <is>
        <t>26C</t>
      </is>
    </oc>
    <nc r="N42">
      <v>26</v>
    </nc>
  </rcc>
  <rcc rId="141775" sId="1">
    <oc r="G43" t="inlineStr">
      <is>
        <t>B38M</t>
      </is>
    </oc>
    <nc r="G43" t="inlineStr">
      <is>
        <t>A320</t>
      </is>
    </nc>
  </rcc>
  <rcc rId="141776" sId="1">
    <oc r="I43">
      <v>173</v>
    </oc>
    <nc r="I43">
      <v>189</v>
    </nc>
  </rcc>
  <rcc rId="141777" sId="1">
    <oc r="K43">
      <v>174</v>
    </oc>
    <nc r="K43">
      <v>183</v>
    </nc>
  </rcc>
  <rcc rId="141778" sId="1">
    <oc r="L43">
      <v>2</v>
    </oc>
    <nc r="L43">
      <v>15</v>
    </nc>
  </rcc>
  <rcc rId="141779" sId="1">
    <oc r="M43" t="inlineStr">
      <is>
        <t>P7</t>
      </is>
    </oc>
    <nc r="M43" t="inlineStr">
      <is>
        <t>B31</t>
      </is>
    </nc>
  </rcc>
  <rcc rId="141780" sId="1">
    <oc r="N43">
      <v>6</v>
    </oc>
    <nc r="N43">
      <v>31</v>
    </nc>
  </rcc>
  <rcc rId="141781" sId="1">
    <oc r="O43" t="inlineStr">
      <is>
        <t>A</t>
      </is>
    </oc>
    <nc r="O43" t="inlineStr">
      <is>
        <t>B</t>
      </is>
    </nc>
  </rcc>
  <rcc rId="141782" sId="1">
    <oc r="G44" t="inlineStr">
      <is>
        <t>B737</t>
      </is>
    </oc>
    <nc r="G44" t="inlineStr">
      <is>
        <t>A320</t>
      </is>
    </nc>
  </rcc>
  <rcc rId="141783" sId="1">
    <oc r="H44" t="inlineStr">
      <is>
        <t>A.A.G.</t>
      </is>
    </oc>
    <nc r="H44" t="inlineStr">
      <is>
        <t>JETBLUE</t>
      </is>
    </nc>
  </rcc>
  <rcc rId="141784" sId="1">
    <oc r="I44">
      <v>178</v>
    </oc>
    <nc r="I44">
      <v>144</v>
    </nc>
  </rcc>
  <rcc rId="141785" sId="1">
    <oc r="K44">
      <v>159</v>
    </oc>
    <nc r="K44">
      <v>83</v>
    </nc>
  </rcc>
  <rcc rId="141786" sId="1">
    <oc r="L44">
      <v>13</v>
    </oc>
    <nc r="L44">
      <v>2</v>
    </nc>
  </rcc>
  <rcc rId="141787" sId="1">
    <oc r="M44" t="inlineStr">
      <is>
        <t>B24</t>
      </is>
    </oc>
    <nc r="M44" t="inlineStr">
      <is>
        <t>P10</t>
      </is>
    </nc>
  </rcc>
  <rcc rId="141788" sId="1">
    <oc r="N44">
      <v>24</v>
    </oc>
    <nc r="N44">
      <v>14</v>
    </nc>
  </rcc>
  <rcc rId="141789" sId="1">
    <oc r="O44" t="inlineStr">
      <is>
        <t>B</t>
      </is>
    </oc>
    <nc r="O44" t="inlineStr">
      <is>
        <t>A</t>
      </is>
    </nc>
  </rcc>
  <rcc rId="141790" sId="1">
    <oc r="G45" t="inlineStr">
      <is>
        <t>A321</t>
      </is>
    </oc>
    <nc r="G45" t="inlineStr">
      <is>
        <t>B737</t>
      </is>
    </nc>
  </rcc>
  <rcc rId="141791" sId="1">
    <oc r="H45" t="inlineStr">
      <is>
        <t>ENVOY</t>
      </is>
    </oc>
    <nc r="H45" t="inlineStr">
      <is>
        <t>TRADING AVIATION</t>
      </is>
    </nc>
  </rcc>
  <rcc rId="141792" sId="1">
    <oc r="I45">
      <v>190</v>
    </oc>
    <nc r="I45">
      <v>167</v>
    </nc>
  </rcc>
  <rcc rId="141793" sId="1">
    <oc r="K45">
      <v>189</v>
    </oc>
    <nc r="K45">
      <v>167</v>
    </nc>
  </rcc>
  <rcc rId="141794" sId="1">
    <oc r="L45">
      <v>17</v>
    </oc>
    <nc r="L45">
      <v>15</v>
    </nc>
  </rcc>
  <rcc rId="141795" sId="1">
    <oc r="M45" t="inlineStr">
      <is>
        <t>B28</t>
      </is>
    </oc>
    <nc r="M45" t="inlineStr">
      <is>
        <t>B30</t>
      </is>
    </nc>
  </rcc>
  <rcc rId="141796" sId="1">
    <oc r="N45">
      <v>28</v>
    </oc>
    <nc r="N45">
      <v>30</v>
    </nc>
  </rcc>
  <rcc rId="141797" sId="1">
    <oc r="G46" t="inlineStr">
      <is>
        <t>B738</t>
      </is>
    </oc>
    <nc r="G46" t="inlineStr">
      <is>
        <t>B38M</t>
      </is>
    </nc>
  </rcc>
  <rcc rId="141798" sId="1">
    <oc r="H46" t="inlineStr">
      <is>
        <t>ENVOY</t>
      </is>
    </oc>
    <nc r="H46" t="inlineStr">
      <is>
        <t>SERVAIR</t>
      </is>
    </nc>
  </rcc>
  <rcc rId="141799" sId="1">
    <oc r="I46">
      <v>167</v>
    </oc>
    <nc r="I46">
      <v>47</v>
    </nc>
  </rcc>
  <rcc rId="141800" sId="1">
    <oc r="K46">
      <v>173</v>
    </oc>
    <nc r="K46">
      <v>149</v>
    </nc>
  </rcc>
  <rcc rId="141801" sId="1">
    <oc r="L46">
      <v>16</v>
    </oc>
    <nc r="L46">
      <v>6</v>
    </nc>
  </rcc>
  <rcc rId="141802" sId="1">
    <oc r="M46" t="inlineStr">
      <is>
        <t>B27</t>
      </is>
    </oc>
    <nc r="M46" t="inlineStr">
      <is>
        <t>P6</t>
      </is>
    </nc>
  </rcc>
  <rcc rId="141803" sId="1">
    <oc r="N46">
      <v>27</v>
    </oc>
    <nc r="N46">
      <v>5</v>
    </nc>
  </rcc>
  <rcc rId="141804" sId="1">
    <oc r="O46" t="inlineStr">
      <is>
        <t>B</t>
      </is>
    </oc>
    <nc r="O46" t="inlineStr">
      <is>
        <t>A</t>
      </is>
    </nc>
  </rcc>
  <rcc rId="141805" sId="1">
    <oc r="G47" t="inlineStr">
      <is>
        <t>B38M</t>
      </is>
    </oc>
    <nc r="G47" t="inlineStr">
      <is>
        <t>B39M</t>
      </is>
    </nc>
  </rcc>
  <rcc rId="141806" sId="1">
    <oc r="H47" t="inlineStr">
      <is>
        <t>A.A.G.</t>
      </is>
    </oc>
    <nc r="H47" t="inlineStr">
      <is>
        <t>UNITED</t>
      </is>
    </nc>
  </rcc>
  <rcc rId="141807" sId="1">
    <oc r="I47">
      <v>121</v>
    </oc>
    <nc r="I47">
      <v>169</v>
    </nc>
  </rcc>
  <rcc rId="141808" sId="1">
    <oc r="K47">
      <v>153</v>
    </oc>
    <nc r="K47">
      <v>169</v>
    </nc>
  </rcc>
  <rcc rId="141809" sId="1">
    <oc r="L47">
      <v>12</v>
    </oc>
    <nc r="L47">
      <v>11</v>
    </nc>
  </rcc>
  <rcc rId="141810" sId="1">
    <oc r="M47" t="inlineStr">
      <is>
        <t>N10</t>
      </is>
    </oc>
    <nc r="M47" t="inlineStr">
      <is>
        <t>P29</t>
      </is>
    </nc>
  </rcc>
  <rcc rId="141811" sId="1">
    <oc r="G48" t="inlineStr">
      <is>
        <t>A20N</t>
      </is>
    </oc>
    <nc r="G48" t="inlineStr">
      <is>
        <t>B737</t>
      </is>
    </nc>
  </rcc>
  <rcc rId="141812" sId="1">
    <oc r="H48" t="inlineStr">
      <is>
        <t>CARIPORTS</t>
      </is>
    </oc>
    <nc r="H48" t="inlineStr">
      <is>
        <t>A.A.G.</t>
      </is>
    </nc>
  </rcc>
  <rcc rId="141813" sId="1">
    <oc r="I48" t="inlineStr">
      <is>
        <t>N/A</t>
      </is>
    </oc>
    <nc r="I48">
      <v>170</v>
    </nc>
  </rcc>
  <rcc rId="141814" sId="1">
    <oc r="K48">
      <v>174</v>
    </oc>
    <nc r="K48">
      <v>156</v>
    </nc>
  </rcc>
  <rcc rId="141815" sId="1">
    <oc r="L48" t="inlineStr">
      <is>
        <t>N/A</t>
      </is>
    </oc>
    <nc r="L48">
      <v>11</v>
    </nc>
  </rcc>
  <rcc rId="141816" sId="1">
    <oc r="M48" t="inlineStr">
      <is>
        <t>P2</t>
      </is>
    </oc>
    <nc r="M48" t="inlineStr">
      <is>
        <t>B20</t>
      </is>
    </nc>
  </rcc>
  <rcc rId="141817" sId="1">
    <oc r="N48">
      <v>2</v>
    </oc>
    <nc r="N48">
      <v>20</v>
    </nc>
  </rcc>
  <rcc rId="141818" sId="1">
    <oc r="O48" t="inlineStr">
      <is>
        <t>A</t>
      </is>
    </oc>
    <nc r="O48" t="inlineStr">
      <is>
        <t>B</t>
      </is>
    </nc>
  </rcc>
  <rcc rId="141819" sId="1">
    <oc r="G49" t="inlineStr">
      <is>
        <t>A320</t>
      </is>
    </oc>
    <nc r="G49" t="inlineStr">
      <is>
        <t>A321</t>
      </is>
    </nc>
  </rcc>
  <rcc rId="141820" sId="1">
    <oc r="H49" t="inlineStr">
      <is>
        <t>TRADING AVIATION</t>
      </is>
    </oc>
    <nc r="H49" t="inlineStr">
      <is>
        <t>ENVOY</t>
      </is>
    </nc>
  </rcc>
  <rcc rId="141821" sId="1">
    <oc r="I49">
      <v>181</v>
    </oc>
    <nc r="I49">
      <v>179</v>
    </nc>
  </rcc>
  <rcc rId="141822" sId="1">
    <oc r="K49">
      <v>186</v>
    </oc>
    <nc r="K49">
      <v>179</v>
    </nc>
  </rcc>
  <rcc rId="141823" sId="1">
    <oc r="L49">
      <v>3</v>
    </oc>
    <nc r="L49">
      <v>16</v>
    </nc>
  </rcc>
  <rcc rId="141824" sId="1">
    <oc r="M49" t="inlineStr">
      <is>
        <t>P9</t>
      </is>
    </oc>
    <nc r="M49" t="inlineStr">
      <is>
        <t>B27</t>
      </is>
    </nc>
  </rcc>
  <rcc rId="141825" sId="1">
    <oc r="N49">
      <v>11</v>
    </oc>
    <nc r="N49">
      <v>27</v>
    </nc>
  </rcc>
  <rcc rId="141826" sId="1">
    <oc r="O49" t="inlineStr">
      <is>
        <t>A</t>
      </is>
    </oc>
    <nc r="O49" t="inlineStr">
      <is>
        <t>B</t>
      </is>
    </nc>
  </rcc>
  <rcc rId="141827" sId="1">
    <oc r="G50" t="inlineStr">
      <is>
        <t>A319</t>
      </is>
    </oc>
    <nc r="G50" t="inlineStr">
      <is>
        <t>B738</t>
      </is>
    </nc>
  </rcc>
  <rcc rId="141828" sId="1">
    <oc r="H50" t="inlineStr">
      <is>
        <t>SERVAIR</t>
      </is>
    </oc>
    <nc r="H50" t="inlineStr">
      <is>
        <t>ENVOY</t>
      </is>
    </nc>
  </rcc>
  <rcc rId="141829" sId="1">
    <oc r="I50">
      <v>160</v>
    </oc>
    <nc r="I50">
      <v>127</v>
    </nc>
  </rcc>
  <rcc rId="141830" sId="1">
    <oc r="K50">
      <v>160</v>
    </oc>
    <nc r="K50">
      <v>147</v>
    </nc>
  </rcc>
  <rcc rId="141831" sId="1">
    <oc r="L50">
      <v>1</v>
    </oc>
    <nc r="L50">
      <v>16</v>
    </nc>
  </rcc>
  <rcc rId="141832" sId="1">
    <oc r="M50" t="inlineStr">
      <is>
        <t>P3</t>
      </is>
    </oc>
    <nc r="M50" t="inlineStr">
      <is>
        <t>B28</t>
      </is>
    </nc>
  </rcc>
  <rcc rId="141833" sId="1">
    <oc r="N50">
      <v>4</v>
    </oc>
    <nc r="N50">
      <v>28</v>
    </nc>
  </rcc>
  <rcc rId="141834" sId="1">
    <oc r="O50" t="inlineStr">
      <is>
        <t>A</t>
      </is>
    </oc>
    <nc r="O50" t="inlineStr">
      <is>
        <t>B</t>
      </is>
    </nc>
  </rcc>
  <rcc rId="141835" sId="1">
    <oc r="H51" t="inlineStr">
      <is>
        <t>TRADING AVIATION</t>
      </is>
    </oc>
    <nc r="H51" t="inlineStr">
      <is>
        <t>SERVAIR</t>
      </is>
    </nc>
  </rcc>
  <rcc rId="141836" sId="1">
    <oc r="I51">
      <v>170</v>
    </oc>
    <nc r="I51">
      <v>181</v>
    </nc>
  </rcc>
  <rcc rId="141837" sId="1">
    <oc r="K51">
      <v>173</v>
    </oc>
    <nc r="K51">
      <v>169</v>
    </nc>
  </rcc>
  <rcc rId="141838" sId="1">
    <oc r="L51">
      <v>11</v>
    </oc>
    <nc r="L51">
      <v>1</v>
    </nc>
  </rcc>
  <rcc rId="141839" sId="1">
    <oc r="M51" t="inlineStr">
      <is>
        <t>B26A</t>
      </is>
    </oc>
    <nc r="M51" t="inlineStr">
      <is>
        <t>P11</t>
      </is>
    </nc>
  </rcc>
  <rcc rId="141840" sId="1">
    <oc r="N51">
      <v>26</v>
    </oc>
    <nc r="N51">
      <v>15</v>
    </nc>
  </rcc>
  <rcc rId="141841" sId="1">
    <oc r="O51" t="inlineStr">
      <is>
        <t>B</t>
      </is>
    </oc>
    <nc r="O51" t="inlineStr">
      <is>
        <t>A</t>
      </is>
    </nc>
  </rcc>
  <rcc rId="141842" sId="1">
    <oc r="G52" t="inlineStr">
      <is>
        <t>B38M</t>
      </is>
    </oc>
    <nc r="G52" t="inlineStr">
      <is>
        <t>B763</t>
      </is>
    </nc>
  </rcc>
  <rcc rId="141843" sId="1">
    <oc r="H52" t="inlineStr">
      <is>
        <t>A.A.G.</t>
      </is>
    </oc>
    <nc r="H52" t="inlineStr">
      <is>
        <t>CARIBE TRANS</t>
      </is>
    </nc>
  </rcc>
  <rcc rId="141844" sId="1">
    <oc r="M52" t="inlineStr">
      <is>
        <t>B21</t>
      </is>
    </oc>
    <nc r="M52" t="inlineStr">
      <is>
        <t>C2</t>
      </is>
    </nc>
  </rcc>
  <rcc rId="141845" sId="1">
    <oc r="O52" t="inlineStr">
      <is>
        <t>B</t>
      </is>
    </oc>
    <nc r="O52" t="inlineStr">
      <is>
        <t>CARGA</t>
      </is>
    </nc>
  </rcc>
  <rcc rId="141846" sId="1">
    <oc r="G53" t="inlineStr">
      <is>
        <t>B38M</t>
      </is>
    </oc>
    <nc r="G53" t="inlineStr">
      <is>
        <t>B737</t>
      </is>
    </nc>
  </rcc>
  <rcc rId="141847" sId="1">
    <oc r="H53" t="inlineStr">
      <is>
        <t>A.A.G.</t>
      </is>
    </oc>
    <nc r="H53" t="inlineStr">
      <is>
        <t>TRADING AVIATION</t>
      </is>
    </nc>
  </rcc>
  <rcc rId="141848" sId="1">
    <oc r="I53">
      <v>150</v>
    </oc>
    <nc r="I53">
      <v>173</v>
    </nc>
  </rcc>
  <rcc rId="141849" sId="1">
    <oc r="K53">
      <v>190</v>
    </oc>
    <nc r="K53">
      <v>162</v>
    </nc>
  </rcc>
  <rcc rId="141850" sId="1">
    <oc r="L53">
      <v>11</v>
    </oc>
    <nc r="L53">
      <v>12</v>
    </nc>
  </rcc>
  <rcc rId="141851" sId="1">
    <oc r="M53" t="inlineStr">
      <is>
        <t>P29</t>
      </is>
    </oc>
    <nc r="M53" t="inlineStr">
      <is>
        <t>B24</t>
      </is>
    </nc>
  </rcc>
  <rcc rId="141852" sId="1">
    <oc r="N53" t="inlineStr">
      <is>
        <t>26D</t>
      </is>
    </oc>
    <nc r="N53">
      <v>24</v>
    </nc>
  </rcc>
  <rcc rId="141853" sId="1">
    <oc r="I54">
      <v>188</v>
    </oc>
    <nc r="I54">
      <v>165</v>
    </nc>
  </rcc>
  <rcc rId="141854" sId="1">
    <oc r="K54">
      <v>187</v>
    </oc>
    <nc r="K54">
      <v>188</v>
    </nc>
  </rcc>
  <rcc rId="141855" sId="1">
    <oc r="L54">
      <v>1</v>
    </oc>
    <nc r="L54">
      <v>5</v>
    </nc>
  </rcc>
  <rcc rId="141856" sId="1">
    <oc r="M54" t="inlineStr">
      <is>
        <t>P5</t>
      </is>
    </oc>
    <nc r="M54" t="inlineStr">
      <is>
        <t>P8</t>
      </is>
    </nc>
  </rcc>
  <rcc rId="141857" sId="1">
    <oc r="N54">
      <v>1</v>
    </oc>
    <nc r="N54">
      <v>9</v>
    </nc>
  </rcc>
  <rcc rId="141858" sId="1">
    <oc r="I55">
      <v>182</v>
    </oc>
    <nc r="I55">
      <v>184</v>
    </nc>
  </rcc>
  <rcc rId="141859" sId="1">
    <oc r="K55">
      <v>184</v>
    </oc>
    <nc r="K55">
      <v>181</v>
    </nc>
  </rcc>
  <rcc rId="141860" sId="1">
    <oc r="L55">
      <v>14</v>
    </oc>
    <nc r="L55">
      <v>17</v>
    </nc>
  </rcc>
  <rcc rId="141861" sId="1">
    <oc r="H56" t="inlineStr">
      <is>
        <t>A.A.G.</t>
      </is>
    </oc>
    <nc r="H56" t="inlineStr">
      <is>
        <t>SERVAIR</t>
      </is>
    </nc>
  </rcc>
  <rcc rId="141862" sId="1">
    <oc r="I56">
      <v>142</v>
    </oc>
    <nc r="I56">
      <v>151</v>
    </nc>
  </rcc>
  <rcc rId="141863" sId="1">
    <oc r="K56">
      <v>177</v>
    </oc>
    <nc r="K56">
      <v>148</v>
    </nc>
  </rcc>
  <rcc rId="141864" sId="1">
    <oc r="L56">
      <v>11</v>
    </oc>
    <nc r="L56">
      <v>1</v>
    </nc>
  </rcc>
  <rcc rId="141865" sId="1">
    <oc r="M56" t="inlineStr">
      <is>
        <t>B20</t>
      </is>
    </oc>
    <nc r="M56" t="inlineStr">
      <is>
        <t>P7</t>
      </is>
    </nc>
  </rcc>
  <rcc rId="141866" sId="1">
    <oc r="N56">
      <v>20</v>
    </oc>
    <nc r="N56">
      <v>8</v>
    </nc>
  </rcc>
  <rcc rId="141867" sId="1">
    <oc r="O56" t="inlineStr">
      <is>
        <t>B</t>
      </is>
    </oc>
    <nc r="O56" t="inlineStr">
      <is>
        <t>A</t>
      </is>
    </nc>
  </rcc>
  <rcc rId="141868" sId="1">
    <oc r="I57">
      <v>162</v>
    </oc>
    <nc r="I57">
      <v>153</v>
    </nc>
  </rcc>
  <rcc rId="141869" sId="1">
    <oc r="K57">
      <v>159</v>
    </oc>
    <nc r="K57">
      <v>150</v>
    </nc>
  </rcc>
  <rcc rId="141870" sId="1">
    <oc r="M57" t="inlineStr">
      <is>
        <t>P11</t>
      </is>
    </oc>
    <nc r="M57" t="inlineStr">
      <is>
        <t>P5</t>
      </is>
    </nc>
  </rcc>
  <rcc rId="141871" sId="1">
    <oc r="N57">
      <v>16</v>
    </oc>
    <nc r="N57">
      <v>4</v>
    </nc>
  </rcc>
  <rcc rId="141872" sId="1">
    <oc r="G58" t="inlineStr">
      <is>
        <t>A320</t>
      </is>
    </oc>
    <nc r="G58" t="inlineStr">
      <is>
        <t>A20N</t>
      </is>
    </nc>
  </rcc>
  <rcc rId="141873" sId="1">
    <oc r="H58" t="inlineStr">
      <is>
        <t>JETBLUE</t>
      </is>
    </oc>
    <nc r="H58" t="inlineStr">
      <is>
        <t>A.A.G.</t>
      </is>
    </nc>
  </rcc>
  <rcc rId="141874" sId="1">
    <oc r="I58">
      <v>157</v>
    </oc>
    <nc r="I58">
      <v>188</v>
    </nc>
  </rcc>
  <rcc rId="141875" sId="1">
    <oc r="K58">
      <v>162</v>
    </oc>
    <nc r="K58">
      <v>180</v>
    </nc>
  </rcc>
  <rcc rId="141876" sId="1">
    <oc r="L58">
      <v>2</v>
    </oc>
    <nc r="L58">
      <v>5</v>
    </nc>
  </rcc>
  <rcc rId="141877" sId="1">
    <oc r="M58" t="inlineStr">
      <is>
        <t>P8A</t>
      </is>
    </oc>
    <nc r="M58" t="inlineStr">
      <is>
        <t>P9</t>
      </is>
    </nc>
  </rcc>
  <rcc rId="141878" sId="1">
    <oc r="N58">
      <v>9</v>
    </oc>
    <nc r="N58">
      <v>11</v>
    </nc>
  </rcc>
  <rcc rId="141879" sId="1">
    <oc r="G59" t="inlineStr">
      <is>
        <t>A321</t>
      </is>
    </oc>
    <nc r="G59" t="inlineStr">
      <is>
        <t>A320</t>
      </is>
    </nc>
  </rcc>
  <rcc rId="141880" sId="1">
    <oc r="H59" t="inlineStr">
      <is>
        <t>A.A.G.</t>
      </is>
    </oc>
    <nc r="H59" t="inlineStr">
      <is>
        <t>JETBLUE</t>
      </is>
    </nc>
  </rcc>
  <rcc rId="141881" sId="1">
    <oc r="I59">
      <v>193</v>
    </oc>
    <nc r="I59">
      <v>157</v>
    </nc>
  </rcc>
  <rcc rId="141882" sId="1">
    <oc r="K59">
      <v>190</v>
    </oc>
    <nc r="K59">
      <v>157</v>
    </nc>
  </rcc>
  <rcc rId="141883" sId="1">
    <oc r="N59">
      <v>7</v>
    </oc>
    <nc r="N59">
      <v>6</v>
    </nc>
  </rcc>
  <rcc rId="141884" sId="1">
    <oc r="G60" t="inlineStr">
      <is>
        <t>B38M</t>
      </is>
    </oc>
    <nc r="G60" t="inlineStr">
      <is>
        <t>A320</t>
      </is>
    </nc>
  </rcc>
  <rcc rId="141885" sId="1">
    <oc r="H60" t="inlineStr">
      <is>
        <t>A.A.G.</t>
      </is>
    </oc>
    <nc r="H60" t="inlineStr">
      <is>
        <t>JETBLUE</t>
      </is>
    </nc>
  </rcc>
  <rcc rId="141886" sId="1">
    <oc r="I60">
      <v>184</v>
    </oc>
    <nc r="I60">
      <v>122</v>
    </nc>
  </rcc>
  <rcc rId="141887" sId="1">
    <oc r="K60" t="inlineStr">
      <is>
        <t>N/A</t>
      </is>
    </oc>
    <nc r="K60">
      <v>158</v>
    </nc>
  </rcc>
  <rcc rId="141888" sId="1">
    <oc r="L60">
      <v>13</v>
    </oc>
    <nc r="L60">
      <v>2</v>
    </nc>
  </rcc>
  <rcc rId="141889" sId="1">
    <oc r="M60" t="inlineStr">
      <is>
        <t>B25</t>
      </is>
    </oc>
    <nc r="M60" t="inlineStr">
      <is>
        <t>P4</t>
      </is>
    </nc>
  </rcc>
  <rcc rId="141890" sId="1">
    <oc r="N60">
      <v>25</v>
    </oc>
    <nc r="N60">
      <v>3</v>
    </nc>
  </rcc>
  <rcc rId="141891" sId="1">
    <oc r="O60" t="inlineStr">
      <is>
        <t>B</t>
      </is>
    </oc>
    <nc r="O60" t="inlineStr">
      <is>
        <t>A</t>
      </is>
    </nc>
  </rcc>
  <rcc rId="141892" sId="1">
    <oc r="G61" t="inlineStr">
      <is>
        <t>A320</t>
      </is>
    </oc>
    <nc r="G61" t="inlineStr">
      <is>
        <t>A321</t>
      </is>
    </nc>
  </rcc>
  <rcc rId="141893" sId="1">
    <oc r="H61" t="inlineStr">
      <is>
        <t>JETBLUE</t>
      </is>
    </oc>
    <nc r="H61" t="inlineStr">
      <is>
        <t>CARIPORTS</t>
      </is>
    </nc>
  </rcc>
  <rcc rId="141894" sId="1">
    <oc r="I61">
      <v>152</v>
    </oc>
    <nc r="I61">
      <v>167</v>
    </nc>
  </rcc>
  <rcc rId="141895" sId="1">
    <oc r="K61">
      <v>160</v>
    </oc>
    <nc r="K61">
      <v>170</v>
    </nc>
  </rcc>
  <rcc rId="141896" sId="1">
    <oc r="L61">
      <v>6</v>
    </oc>
    <nc r="L61">
      <v>2</v>
    </nc>
  </rcc>
  <rcc rId="141897" sId="1">
    <oc r="N61">
      <v>14</v>
    </oc>
    <nc r="N61">
      <v>13</v>
    </nc>
  </rcc>
  <rcc rId="141898" sId="1">
    <oc r="G62" t="inlineStr">
      <is>
        <t>A321</t>
      </is>
    </oc>
    <nc r="G62" t="inlineStr">
      <is>
        <t>B737</t>
      </is>
    </nc>
  </rcc>
  <rcc rId="141899" sId="1">
    <oc r="H62" t="inlineStr">
      <is>
        <t>CARIPORTS</t>
      </is>
    </oc>
    <nc r="H62" t="inlineStr">
      <is>
        <t>A.A.G.</t>
      </is>
    </nc>
  </rcc>
  <rcc rId="141900" sId="1">
    <oc r="I62">
      <v>185</v>
    </oc>
    <nc r="I62">
      <v>177</v>
    </nc>
  </rcc>
  <rcc rId="141901" sId="1">
    <oc r="K62">
      <v>195</v>
    </oc>
    <nc r="K62">
      <v>168</v>
    </nc>
  </rcc>
  <rcc rId="141902" sId="1">
    <oc r="L62">
      <v>5</v>
    </oc>
    <nc r="L62">
      <v>12</v>
    </nc>
  </rcc>
  <rcc rId="141903" sId="1">
    <oc r="M62" t="inlineStr">
      <is>
        <t>P9</t>
      </is>
    </oc>
    <nc r="M62" t="inlineStr">
      <is>
        <t>B26A</t>
      </is>
    </nc>
  </rcc>
  <rcc rId="141904" sId="1">
    <oc r="N62">
      <v>12</v>
    </oc>
    <nc r="N62">
      <v>26</v>
    </nc>
  </rcc>
  <rcc rId="141905" sId="1">
    <oc r="O62" t="inlineStr">
      <is>
        <t>A</t>
      </is>
    </oc>
    <nc r="O62" t="inlineStr">
      <is>
        <t>B</t>
      </is>
    </nc>
  </rcc>
  <rcc rId="141906" sId="1">
    <oc r="G63" t="inlineStr">
      <is>
        <t>B738</t>
      </is>
    </oc>
    <nc r="G63" t="inlineStr">
      <is>
        <t>B38M</t>
      </is>
    </nc>
  </rcc>
  <rcc rId="141907" sId="1">
    <oc r="H63" t="inlineStr">
      <is>
        <t>CARIPORTS</t>
      </is>
    </oc>
    <nc r="H63" t="inlineStr">
      <is>
        <t>SERVAIR</t>
      </is>
    </nc>
  </rcc>
  <rcc rId="141908" sId="1">
    <oc r="I63">
      <v>119</v>
    </oc>
    <nc r="I63">
      <v>13</v>
    </nc>
  </rcc>
  <rcc rId="141909" sId="1">
    <oc r="K63">
      <v>168</v>
    </oc>
    <nc r="K63">
      <v>174</v>
    </nc>
  </rcc>
  <rcc rId="141910" sId="1">
    <oc r="L63">
      <v>2</v>
    </oc>
    <nc r="L63">
      <v>1</v>
    </nc>
  </rcc>
  <rcc rId="141911" sId="1">
    <oc r="M63" t="inlineStr">
      <is>
        <t>P1A</t>
      </is>
    </oc>
    <nc r="M63" t="inlineStr">
      <is>
        <t>P2</t>
      </is>
    </nc>
  </rcc>
  <rcc rId="141912" sId="1">
    <oc r="N63">
      <v>5</v>
    </oc>
    <nc r="N63">
      <v>1</v>
    </nc>
  </rcc>
  <rcc rId="141913" sId="1">
    <oc r="G64" t="inlineStr">
      <is>
        <t>B737</t>
      </is>
    </oc>
    <nc r="G64" t="inlineStr">
      <is>
        <t>A320</t>
      </is>
    </nc>
  </rcc>
  <rcc rId="141914" sId="1">
    <oc r="H64" t="inlineStr">
      <is>
        <t>A.A.G.</t>
      </is>
    </oc>
    <nc r="H64" t="inlineStr">
      <is>
        <t>E.T HEINSEN</t>
      </is>
    </nc>
  </rcc>
  <rcc rId="141915" sId="1">
    <oc r="I64">
      <v>175</v>
    </oc>
    <nc r="I64">
      <v>169</v>
    </nc>
  </rcc>
  <rcc rId="141916" sId="1">
    <oc r="K64">
      <v>170</v>
    </oc>
    <nc r="K64">
      <v>119</v>
    </nc>
  </rcc>
  <rcc rId="141917" sId="1">
    <oc r="L64">
      <v>13</v>
    </oc>
    <nc r="L64">
      <v>6</v>
    </nc>
  </rcc>
  <rcc rId="141918" sId="1">
    <oc r="M64" t="inlineStr">
      <is>
        <t>B24</t>
      </is>
    </oc>
    <nc r="M64" t="inlineStr">
      <is>
        <t>P11</t>
      </is>
    </nc>
  </rcc>
  <rcc rId="141919" sId="1">
    <oc r="N64">
      <v>24</v>
    </oc>
    <nc r="N64">
      <v>16</v>
    </nc>
  </rcc>
  <rcc rId="141920" sId="1">
    <oc r="O64" t="inlineStr">
      <is>
        <t>B</t>
      </is>
    </oc>
    <nc r="O64" t="inlineStr">
      <is>
        <t>A</t>
      </is>
    </nc>
  </rcc>
  <rcc rId="141921" sId="1">
    <oc r="G65" t="inlineStr">
      <is>
        <t>B777</t>
      </is>
    </oc>
    <nc r="G65" t="inlineStr">
      <is>
        <t>A321</t>
      </is>
    </nc>
  </rcc>
  <rcc rId="141922" sId="1">
    <oc r="H65" t="inlineStr">
      <is>
        <t>CARIPORTS</t>
      </is>
    </oc>
    <nc r="H65" t="inlineStr">
      <is>
        <t>ENVOY</t>
      </is>
    </nc>
  </rcc>
  <rcc rId="141923" sId="1">
    <oc r="I65">
      <v>289</v>
    </oc>
    <nc r="I65">
      <v>179</v>
    </nc>
  </rcc>
  <rcc rId="141924" sId="1">
    <oc r="K65">
      <v>319</v>
    </oc>
    <nc r="K65">
      <v>159</v>
    </nc>
  </rcc>
  <rcc rId="141925" sId="1">
    <oc r="M65" t="inlineStr">
      <is>
        <t>B30</t>
      </is>
    </oc>
    <nc r="M65" t="inlineStr">
      <is>
        <t>B28</t>
      </is>
    </nc>
  </rcc>
  <rcc rId="141926" sId="1">
    <oc r="N65">
      <v>30</v>
    </oc>
    <nc r="N65">
      <v>28</v>
    </nc>
  </rcc>
  <rcc rId="141927" sId="1">
    <oc r="G66" t="inlineStr">
      <is>
        <t>A321</t>
      </is>
    </oc>
    <nc r="G66" t="inlineStr">
      <is>
        <t>B38M</t>
      </is>
    </nc>
  </rcc>
  <rcc rId="141928" sId="1">
    <oc r="H66" t="inlineStr">
      <is>
        <t>ENVOY</t>
      </is>
    </oc>
    <nc r="H66" t="inlineStr">
      <is>
        <t>TRADING AVIATION</t>
      </is>
    </nc>
  </rcc>
  <rcc rId="141929" sId="1">
    <oc r="I66">
      <v>176</v>
    </oc>
    <nc r="I66">
      <v>168</v>
    </nc>
  </rcc>
  <rcc rId="141930" sId="1">
    <oc r="K66">
      <v>183</v>
    </oc>
    <nc r="K66">
      <v>151</v>
    </nc>
  </rcc>
  <rcc rId="141931" sId="1">
    <oc r="L66">
      <v>16</v>
    </oc>
    <nc r="L66">
      <v>11</v>
    </nc>
  </rcc>
  <rcc rId="141932" sId="1">
    <oc r="M66" t="inlineStr">
      <is>
        <t>B27</t>
      </is>
    </oc>
    <nc r="M66" t="inlineStr">
      <is>
        <t>B25</t>
      </is>
    </nc>
  </rcc>
  <rcc rId="141933" sId="1">
    <oc r="N66">
      <v>27</v>
    </oc>
    <nc r="N66">
      <v>25</v>
    </nc>
  </rcc>
  <rcc rId="141934" sId="1">
    <oc r="G67" t="inlineStr">
      <is>
        <t>A321</t>
      </is>
    </oc>
    <nc r="G67" t="inlineStr">
      <is>
        <t>A20N</t>
      </is>
    </nc>
  </rcc>
  <rcc rId="141935" sId="1">
    <oc r="I67">
      <v>209</v>
    </oc>
    <nc r="I67">
      <v>223</v>
    </nc>
  </rcc>
  <rcc rId="141936" sId="1">
    <oc r="K67">
      <v>236</v>
    </oc>
    <nc r="K67">
      <v>146</v>
    </nc>
  </rcc>
  <rcc rId="141937" sId="1">
    <oc r="L67">
      <v>3</v>
    </oc>
    <nc r="L67">
      <v>5</v>
    </nc>
  </rcc>
  <rcc rId="141938" sId="1">
    <oc r="M67" t="inlineStr">
      <is>
        <t>P3</t>
      </is>
    </oc>
    <nc r="M67" t="inlineStr">
      <is>
        <t>N4</t>
      </is>
    </nc>
  </rcc>
  <rcc rId="141939" sId="1">
    <oc r="N67">
      <v>6</v>
    </oc>
    <nc r="N67">
      <v>5</v>
    </nc>
  </rcc>
  <rcc rId="141940" sId="1">
    <oc r="I68">
      <v>177</v>
    </oc>
    <nc r="I68">
      <v>175</v>
    </nc>
  </rcc>
  <rcc rId="141941" sId="1">
    <oc r="K68">
      <v>179</v>
    </oc>
    <nc r="K68">
      <v>164</v>
    </nc>
  </rcc>
  <rcc rId="141942" sId="1">
    <oc r="L68">
      <v>12</v>
    </oc>
    <nc r="L68">
      <v>11</v>
    </nc>
  </rcc>
  <rcc rId="141943" sId="1">
    <oc r="M68" t="inlineStr">
      <is>
        <t>B23</t>
      </is>
    </oc>
    <nc r="M68" t="inlineStr">
      <is>
        <t>B21</t>
      </is>
    </nc>
  </rcc>
  <rcc rId="141944" sId="1">
    <oc r="N68">
      <v>23</v>
    </oc>
    <nc r="N68">
      <v>21</v>
    </nc>
  </rcc>
  <rcc rId="141945" sId="1">
    <oc r="G69" t="inlineStr">
      <is>
        <t>A321</t>
      </is>
    </oc>
    <nc r="G69" t="inlineStr">
      <is>
        <t>B787</t>
      </is>
    </nc>
  </rcc>
  <rcc rId="141946" sId="1">
    <oc r="H69" t="inlineStr">
      <is>
        <t>SERVAIR</t>
      </is>
    </oc>
    <nc r="H69" t="inlineStr">
      <is>
        <t>A.A.G.</t>
      </is>
    </nc>
  </rcc>
  <rcc rId="141947" sId="1">
    <oc r="I69">
      <v>178</v>
    </oc>
    <nc r="I69">
      <v>319</v>
    </nc>
  </rcc>
  <rcc rId="141948" sId="1">
    <oc r="K69">
      <v>182</v>
    </oc>
    <nc r="K69">
      <v>319</v>
    </nc>
  </rcc>
  <rcc rId="141949" sId="1">
    <oc r="L69">
      <v>11</v>
    </oc>
    <nc r="L69">
      <v>6</v>
    </nc>
  </rcc>
  <rcc rId="141950" sId="1">
    <oc r="M69" t="inlineStr">
      <is>
        <t>B22</t>
      </is>
    </oc>
    <nc r="M69" t="inlineStr">
      <is>
        <t>P3</t>
      </is>
    </nc>
  </rcc>
  <rcc rId="141951" sId="1">
    <oc r="N69">
      <v>22</v>
    </oc>
    <nc r="N69">
      <v>1</v>
    </nc>
  </rcc>
  <rcc rId="141952" sId="1">
    <oc r="O69" t="inlineStr">
      <is>
        <t>B</t>
      </is>
    </oc>
    <nc r="O69" t="inlineStr">
      <is>
        <t>A</t>
      </is>
    </nc>
  </rcc>
  <rcc rId="141953" sId="1">
    <oc r="G70" t="inlineStr">
      <is>
        <t>B38M</t>
      </is>
    </oc>
    <nc r="G70" t="inlineStr">
      <is>
        <t>A321</t>
      </is>
    </nc>
  </rcc>
  <rcc rId="141954" sId="1">
    <oc r="I70">
      <v>167</v>
    </oc>
    <nc r="I70">
      <v>182</v>
    </nc>
  </rcc>
  <rcc rId="141955" sId="1">
    <oc r="K70">
      <v>167</v>
    </oc>
    <nc r="K70">
      <v>174</v>
    </nc>
  </rcc>
  <rcc rId="141956" sId="1">
    <oc r="L70">
      <v>1</v>
    </oc>
    <nc r="L70">
      <v>15</v>
    </nc>
  </rcc>
  <rcc rId="141957" sId="1">
    <oc r="M70" t="inlineStr">
      <is>
        <t>P4</t>
      </is>
    </oc>
    <nc r="M70" t="inlineStr">
      <is>
        <t>B31</t>
      </is>
    </nc>
  </rcc>
  <rcc rId="141958" sId="1">
    <oc r="N70">
      <v>3</v>
    </oc>
    <nc r="N70">
      <v>31</v>
    </nc>
  </rcc>
  <rcc rId="141959" sId="1">
    <oc r="O70" t="inlineStr">
      <is>
        <t>A</t>
      </is>
    </oc>
    <nc r="O70" t="inlineStr">
      <is>
        <t>B</t>
      </is>
    </nc>
  </rcc>
  <rcc rId="141960" sId="1">
    <oc r="G71" t="inlineStr">
      <is>
        <t>B39M</t>
      </is>
    </oc>
    <nc r="G71" t="inlineStr">
      <is>
        <t>B38M</t>
      </is>
    </nc>
  </rcc>
  <rcc rId="141961" sId="1">
    <oc r="H71" t="inlineStr">
      <is>
        <t>UNITED</t>
      </is>
    </oc>
    <nc r="H71" t="inlineStr">
      <is>
        <t>SERVAIR</t>
      </is>
    </nc>
  </rcc>
  <rcc rId="141962" sId="1">
    <oc r="I71">
      <v>163</v>
    </oc>
    <nc r="I71">
      <v>170</v>
    </nc>
  </rcc>
  <rcc rId="141963" sId="1">
    <oc r="K71">
      <v>179</v>
    </oc>
    <nc r="K71">
      <v>171</v>
    </nc>
  </rcc>
  <rcc rId="141964" sId="1">
    <oc r="L71">
      <v>12</v>
    </oc>
    <nc r="L71">
      <v>3</v>
    </nc>
  </rcc>
  <rcc rId="141965" sId="1">
    <oc r="M71" t="inlineStr">
      <is>
        <t>B26A</t>
      </is>
    </oc>
    <nc r="M71" t="inlineStr">
      <is>
        <t>P1A</t>
      </is>
    </nc>
  </rcc>
  <rcc rId="141966" sId="1">
    <oc r="N71">
      <v>26</v>
    </oc>
    <nc r="N71">
      <v>2</v>
    </nc>
  </rcc>
  <rcc rId="141967" sId="1">
    <oc r="O71" t="inlineStr">
      <is>
        <t>B</t>
      </is>
    </oc>
    <nc r="O71" t="inlineStr">
      <is>
        <t>A</t>
      </is>
    </nc>
  </rcc>
  <rcc rId="141968" sId="1">
    <oc r="G72" t="inlineStr">
      <is>
        <t>B789</t>
      </is>
    </oc>
    <nc r="G72" t="inlineStr">
      <is>
        <t>B39M</t>
      </is>
    </nc>
  </rcc>
  <rcc rId="141969" sId="1">
    <oc r="H72" t="inlineStr">
      <is>
        <t>A.A.G.</t>
      </is>
    </oc>
    <nc r="H72" t="inlineStr">
      <is>
        <t>UNITED</t>
      </is>
    </nc>
  </rcc>
  <rcc rId="141970" sId="1">
    <oc r="I72">
      <v>323</v>
    </oc>
    <nc r="I72">
      <v>171</v>
    </nc>
  </rcc>
  <rcc rId="141971" sId="1">
    <oc r="K72">
      <v>325</v>
    </oc>
    <nc r="K72">
      <v>169</v>
    </nc>
  </rcc>
  <rcc rId="141972" sId="1">
    <oc r="L72">
      <v>6</v>
    </oc>
    <nc r="L72">
      <v>12</v>
    </nc>
  </rcc>
  <rcc rId="141973" sId="1">
    <oc r="M72" t="inlineStr">
      <is>
        <t>P7</t>
      </is>
    </oc>
    <nc r="M72" t="inlineStr">
      <is>
        <t>B24</t>
      </is>
    </nc>
  </rcc>
  <rcc rId="141974" sId="1">
    <oc r="N72">
      <v>1</v>
    </oc>
    <nc r="N72">
      <v>24</v>
    </nc>
  </rcc>
  <rcc rId="141975" sId="1">
    <oc r="O72" t="inlineStr">
      <is>
        <t>A</t>
      </is>
    </oc>
    <nc r="O72" t="inlineStr">
      <is>
        <t>B</t>
      </is>
    </nc>
  </rcc>
  <rcc rId="141976" sId="1">
    <oc r="G73" t="inlineStr">
      <is>
        <t>B38M</t>
      </is>
    </oc>
    <nc r="G73" t="inlineStr">
      <is>
        <t>B738</t>
      </is>
    </nc>
  </rcc>
  <rcc rId="141977" sId="1">
    <oc r="H73" t="inlineStr">
      <is>
        <t>TRADING AVIATION</t>
      </is>
    </oc>
    <nc r="H73" t="inlineStr">
      <is>
        <t>ENVOY</t>
      </is>
    </nc>
  </rcc>
  <rcc rId="141978" sId="1">
    <oc r="I73">
      <v>167</v>
    </oc>
    <nc r="I73">
      <v>157</v>
    </nc>
  </rcc>
  <rcc rId="141979" sId="1">
    <oc r="K73">
      <v>177</v>
    </oc>
    <nc r="K73">
      <v>158</v>
    </nc>
  </rcc>
  <rcc rId="141980" sId="1">
    <oc r="L73">
      <v>13</v>
    </oc>
    <nc r="L73">
      <v>16</v>
    </nc>
  </rcc>
  <rcc rId="141981" sId="1">
    <oc r="M73" t="inlineStr">
      <is>
        <t>B20</t>
      </is>
    </oc>
    <nc r="M73" t="inlineStr">
      <is>
        <t>B27</t>
      </is>
    </nc>
  </rcc>
  <rcc rId="141982" sId="1">
    <oc r="N73">
      <v>20</v>
    </oc>
    <nc r="N73">
      <v>27</v>
    </nc>
  </rcc>
  <rcc rId="141983" sId="1">
    <oc r="G74" t="inlineStr">
      <is>
        <t>B738</t>
      </is>
    </oc>
    <nc r="G74" t="inlineStr">
      <is>
        <t>A321</t>
      </is>
    </nc>
  </rcc>
  <rcc rId="141984" sId="1">
    <oc r="K74">
      <v>168</v>
    </oc>
    <nc r="K74">
      <v>100</v>
    </nc>
  </rcc>
  <rcc rId="141985" sId="1">
    <oc r="L74">
      <v>15</v>
    </oc>
    <nc r="L74">
      <v>13</v>
    </nc>
  </rcc>
  <rcc rId="141986" sId="1">
    <oc r="M74" t="inlineStr">
      <is>
        <t>B28</t>
      </is>
    </oc>
    <nc r="M74" t="inlineStr">
      <is>
        <t>B22</t>
      </is>
    </nc>
  </rcc>
  <rcc rId="141987" sId="1">
    <oc r="N74">
      <v>28</v>
    </oc>
    <nc r="N74">
      <v>22</v>
    </nc>
  </rcc>
  <rcc rId="141988" sId="1">
    <oc r="G75" t="inlineStr">
      <is>
        <t>A321</t>
      </is>
    </oc>
    <nc r="G75" t="inlineStr">
      <is>
        <t>A320</t>
      </is>
    </nc>
  </rcc>
  <rcc rId="141989" sId="1">
    <oc r="H75" t="inlineStr">
      <is>
        <t>ENVOY</t>
      </is>
    </oc>
    <nc r="H75" t="inlineStr">
      <is>
        <t>JETBLUE</t>
      </is>
    </nc>
  </rcc>
  <rcc rId="141990" sId="1">
    <oc r="I75">
      <v>184</v>
    </oc>
    <nc r="I75">
      <v>122</v>
    </nc>
  </rcc>
  <rcc rId="141991" sId="1">
    <oc r="K75">
      <v>189</v>
    </oc>
    <nc r="K75">
      <v>106</v>
    </nc>
  </rcc>
  <rcc rId="141992" sId="1">
    <oc r="L75">
      <v>16</v>
    </oc>
    <nc r="L75">
      <v>1</v>
    </nc>
  </rcc>
  <rcc rId="141993" sId="1">
    <oc r="M75" t="inlineStr">
      <is>
        <t>B31</t>
      </is>
    </oc>
    <nc r="M75" t="inlineStr">
      <is>
        <t>P8A</t>
      </is>
    </nc>
  </rcc>
  <rcc rId="141994" sId="1">
    <oc r="N75">
      <v>31</v>
    </oc>
    <nc r="N75">
      <v>6</v>
    </nc>
  </rcc>
  <rcc rId="141995" sId="1">
    <oc r="O75" t="inlineStr">
      <is>
        <t>B</t>
      </is>
    </oc>
    <nc r="O75" t="inlineStr">
      <is>
        <t>A</t>
      </is>
    </nc>
  </rcc>
  <rcc rId="141996" sId="1">
    <oc r="G76" t="inlineStr">
      <is>
        <t>A320</t>
      </is>
    </oc>
    <nc r="G76" t="inlineStr">
      <is>
        <t>A321</t>
      </is>
    </nc>
  </rcc>
  <rcc rId="141997" sId="1">
    <oc r="H76" t="inlineStr">
      <is>
        <t>JETBLUE</t>
      </is>
    </oc>
    <nc r="H76" t="inlineStr">
      <is>
        <t>ENVOY</t>
      </is>
    </nc>
  </rcc>
  <rcc rId="141998" sId="1">
    <oc r="I76">
      <v>135</v>
    </oc>
    <nc r="I76">
      <v>155</v>
    </nc>
  </rcc>
  <rcc rId="141999" sId="1">
    <oc r="K76">
      <v>162</v>
    </oc>
    <nc r="K76">
      <v>175</v>
    </nc>
  </rcc>
  <rcc rId="142000" sId="1">
    <oc r="L76">
      <v>2</v>
    </oc>
    <nc r="L76">
      <v>13</v>
    </nc>
  </rcc>
  <rcc rId="142001" sId="1">
    <oc r="M76" t="inlineStr">
      <is>
        <t>P9</t>
      </is>
    </oc>
    <nc r="M76" t="inlineStr">
      <is>
        <t>B20</t>
      </is>
    </nc>
  </rcc>
  <rcc rId="142002" sId="1">
    <oc r="N76">
      <v>11</v>
    </oc>
    <nc r="N76">
      <v>20</v>
    </nc>
  </rcc>
  <rcc rId="142003" sId="1">
    <oc r="O76" t="inlineStr">
      <is>
        <t>A</t>
      </is>
    </oc>
    <nc r="O76" t="inlineStr">
      <is>
        <t>B</t>
      </is>
    </nc>
  </rcc>
  <rcc rId="142004" sId="1">
    <oc r="G77" t="inlineStr">
      <is>
        <t>A321</t>
      </is>
    </oc>
    <nc r="G77" t="inlineStr">
      <is>
        <t>A320</t>
      </is>
    </nc>
  </rcc>
  <rcc rId="142005" sId="1">
    <oc r="H77" t="inlineStr">
      <is>
        <t>ENVOY</t>
      </is>
    </oc>
    <nc r="H77" t="inlineStr">
      <is>
        <t>CARIPORTS</t>
      </is>
    </nc>
  </rcc>
  <rcc rId="142006" sId="1">
    <oc r="I77">
      <v>175</v>
    </oc>
    <nc r="I77">
      <v>182</v>
    </nc>
  </rcc>
  <rcc rId="142007" sId="1">
    <oc r="K77">
      <v>197</v>
    </oc>
    <nc r="K77">
      <v>173</v>
    </nc>
  </rcc>
  <rcc rId="142008" sId="1">
    <oc r="L77">
      <v>17</v>
    </oc>
    <nc r="L77">
      <v>5</v>
    </nc>
  </rcc>
  <rcc rId="142009" sId="1">
    <oc r="M77" t="inlineStr">
      <is>
        <t>B32</t>
      </is>
    </oc>
    <nc r="M77" t="inlineStr">
      <is>
        <t>P10</t>
      </is>
    </nc>
  </rcc>
  <rcc rId="142010" sId="1">
    <oc r="N77">
      <v>32</v>
    </oc>
    <nc r="N77">
      <v>14</v>
    </nc>
  </rcc>
  <rcc rId="142011" sId="1">
    <oc r="O77" t="inlineStr">
      <is>
        <t>B</t>
      </is>
    </oc>
    <nc r="O77" t="inlineStr">
      <is>
        <t>A</t>
      </is>
    </nc>
  </rcc>
  <rcc rId="142012" sId="1">
    <oc r="I78">
      <v>159</v>
    </oc>
    <nc r="I78">
      <v>105</v>
    </nc>
  </rcc>
  <rcc rId="142013" sId="1">
    <oc r="K78">
      <v>155</v>
    </oc>
    <nc r="K78">
      <v>156</v>
    </nc>
  </rcc>
  <rcc rId="142014" sId="1">
    <oc r="N78">
      <v>14</v>
    </oc>
    <nc r="N78">
      <v>12</v>
    </nc>
  </rcc>
  <rcc rId="142015" sId="1">
    <oc r="G79" t="inlineStr">
      <is>
        <t>A320</t>
      </is>
    </oc>
    <nc r="G79" t="inlineStr">
      <is>
        <t>A359</t>
      </is>
    </nc>
  </rcc>
  <rcc rId="142016" sId="1">
    <oc r="H79" t="inlineStr">
      <is>
        <t>CARIPORTS</t>
      </is>
    </oc>
    <nc r="H79" t="inlineStr">
      <is>
        <t>G.A.S</t>
      </is>
    </nc>
  </rcc>
  <rcc rId="142017" sId="1">
    <oc r="I79">
      <v>184</v>
    </oc>
    <nc r="I79">
      <v>179</v>
    </nc>
  </rcc>
  <rcc rId="142018" sId="1">
    <oc r="K79">
      <v>196</v>
    </oc>
    <nc r="K79">
      <v>294</v>
    </nc>
  </rcc>
  <rcc rId="142019" sId="1">
    <oc r="L79">
      <v>6</v>
    </oc>
    <nc r="L79">
      <v>5</v>
    </nc>
  </rcc>
  <rcc rId="142020" sId="1">
    <oc r="M79" t="inlineStr">
      <is>
        <t>P11</t>
      </is>
    </oc>
    <nc r="M79" t="inlineStr">
      <is>
        <t>P4</t>
      </is>
    </nc>
  </rcc>
  <rcc rId="142021" sId="1">
    <oc r="N79">
      <v>15</v>
    </oc>
    <nc r="N79">
      <v>2</v>
    </nc>
  </rcc>
  <rcc rId="142022" sId="1">
    <oc r="I80">
      <v>199</v>
    </oc>
    <nc r="I80">
      <v>173</v>
    </nc>
  </rcc>
  <rcc rId="142023" sId="1">
    <oc r="K80">
      <v>228</v>
    </oc>
    <nc r="K80">
      <v>168</v>
    </nc>
  </rcc>
  <rcc rId="142024" sId="1">
    <oc r="L80">
      <v>1</v>
    </oc>
    <nc r="L80">
      <v>6</v>
    </nc>
  </rcc>
  <rcc rId="142025" sId="1">
    <oc r="M80" t="inlineStr">
      <is>
        <t>P8A</t>
      </is>
    </oc>
    <nc r="M80" t="inlineStr">
      <is>
        <t>P9</t>
      </is>
    </nc>
  </rcc>
  <rcc rId="142026" sId="1">
    <oc r="G81" t="inlineStr">
      <is>
        <t>B39M</t>
      </is>
    </oc>
    <nc r="G81" t="inlineStr">
      <is>
        <t>B38M</t>
      </is>
    </nc>
  </rcc>
  <rcc rId="142027" sId="1">
    <oc r="H81" t="inlineStr">
      <is>
        <t>UNITED</t>
      </is>
    </oc>
    <nc r="H81" t="inlineStr">
      <is>
        <t>SERVAIR</t>
      </is>
    </nc>
  </rcc>
  <rcc rId="142028" sId="1">
    <oc r="I81">
      <v>177</v>
    </oc>
    <nc r="I81">
      <v>154</v>
    </nc>
  </rcc>
  <rcc rId="142029" sId="1">
    <oc r="K81">
      <v>179</v>
    </oc>
    <nc r="K81">
      <v>157</v>
    </nc>
  </rcc>
  <rcc rId="142030" sId="1">
    <oc r="L81">
      <v>13</v>
    </oc>
    <nc r="L81">
      <v>3</v>
    </nc>
  </rcc>
  <rcc rId="142031" sId="1">
    <oc r="M81" t="inlineStr">
      <is>
        <t>B21</t>
      </is>
    </oc>
    <nc r="M81" t="inlineStr">
      <is>
        <t>P11</t>
      </is>
    </nc>
  </rcc>
  <rcc rId="142032" sId="1">
    <oc r="N81">
      <v>21</v>
    </oc>
    <nc r="N81">
      <v>16</v>
    </nc>
  </rcc>
  <rcc rId="142033" sId="1">
    <oc r="O81" t="inlineStr">
      <is>
        <t>B</t>
      </is>
    </oc>
    <nc r="O81" t="inlineStr">
      <is>
        <t>A</t>
      </is>
    </nc>
  </rcc>
  <rcc rId="142034" sId="1">
    <oc r="G82" t="inlineStr">
      <is>
        <t>B38M</t>
      </is>
    </oc>
    <nc r="G82" t="inlineStr">
      <is>
        <t>B39M</t>
      </is>
    </nc>
  </rcc>
  <rcc rId="142035" sId="1">
    <oc r="H82" t="inlineStr">
      <is>
        <t>SERVAIR</t>
      </is>
    </oc>
    <nc r="H82" t="inlineStr">
      <is>
        <t>UNITED</t>
      </is>
    </nc>
  </rcc>
  <rcc rId="142036" sId="1">
    <oc r="I82">
      <v>142</v>
    </oc>
    <nc r="I82">
      <v>174</v>
    </nc>
  </rcc>
  <rcc rId="142037" sId="1">
    <oc r="K82">
      <v>168</v>
    </oc>
    <nc r="K82">
      <v>174</v>
    </nc>
  </rcc>
  <rcc rId="142038" sId="1">
    <oc r="L82">
      <v>3</v>
    </oc>
    <nc r="L82">
      <v>11</v>
    </nc>
  </rcc>
  <rcc rId="142039" sId="1">
    <oc r="M82" t="inlineStr">
      <is>
        <t>P10</t>
      </is>
    </oc>
    <nc r="M82" t="inlineStr">
      <is>
        <t>B25</t>
      </is>
    </nc>
  </rcc>
  <rcc rId="142040" sId="1">
    <oc r="N82">
      <v>13</v>
    </oc>
    <nc r="N82">
      <v>25</v>
    </nc>
  </rcc>
  <rcc rId="142041" sId="1">
    <oc r="O82" t="inlineStr">
      <is>
        <t>A</t>
      </is>
    </oc>
    <nc r="O82" t="inlineStr">
      <is>
        <t>B</t>
      </is>
    </nc>
  </rcc>
  <rcc rId="142042" sId="1">
    <oc r="I83">
      <v>184</v>
    </oc>
    <nc r="I83">
      <v>154</v>
    </nc>
  </rcc>
  <rcc rId="142043" sId="1">
    <oc r="K83">
      <v>187</v>
    </oc>
    <nc r="K83">
      <v>120</v>
    </nc>
  </rcc>
  <rcc rId="142044" sId="1">
    <oc r="L83">
      <v>18</v>
    </oc>
    <nc r="L83">
      <v>16</v>
    </nc>
  </rcc>
  <rcc rId="142045" sId="1">
    <oc r="M83" t="inlineStr">
      <is>
        <t>B27</t>
      </is>
    </oc>
    <nc r="M83" t="inlineStr">
      <is>
        <t>B32</t>
      </is>
    </nc>
  </rcc>
  <rcc rId="142046" sId="1">
    <oc r="N83">
      <v>27</v>
    </oc>
    <nc r="N83">
      <v>32</v>
    </nc>
  </rcc>
  <rcc rId="142047" sId="1">
    <oc r="I84">
      <v>108</v>
    </oc>
    <nc r="I84">
      <v>151</v>
    </nc>
  </rcc>
  <rcc rId="142048" sId="1">
    <oc r="K84">
      <v>155</v>
    </oc>
    <nc r="K84">
      <v>90</v>
    </nc>
  </rcc>
  <rcc rId="142049" sId="1">
    <oc r="L84">
      <v>5</v>
    </oc>
    <nc r="L84">
      <v>3</v>
    </nc>
  </rcc>
  <rcc rId="142050" sId="1">
    <oc r="M84" t="inlineStr">
      <is>
        <t>P6</t>
      </is>
    </oc>
    <nc r="M84" t="inlineStr">
      <is>
        <t>P2</t>
      </is>
    </nc>
  </rcc>
  <rcc rId="142051" sId="1">
    <oc r="N84">
      <v>5</v>
    </oc>
    <nc r="N84">
      <v>9</v>
    </nc>
  </rcc>
  <rcc rId="142052" sId="1">
    <oc r="I85">
      <v>127</v>
    </oc>
    <nc r="I85">
      <v>185</v>
    </nc>
  </rcc>
  <rcc rId="142053" sId="1">
    <oc r="K85">
      <v>123</v>
    </oc>
    <nc r="K85">
      <v>159</v>
    </nc>
  </rcc>
  <rcc rId="142054" sId="1">
    <oc r="L85">
      <v>12</v>
    </oc>
    <nc r="L85">
      <v>11</v>
    </nc>
  </rcc>
  <rcc rId="142055" sId="1">
    <oc r="M85" t="inlineStr">
      <is>
        <t>B24</t>
      </is>
    </oc>
    <nc r="M85" t="inlineStr">
      <is>
        <t>B26A</t>
      </is>
    </nc>
  </rcc>
  <rcc rId="142056" sId="1">
    <oc r="N85">
      <v>24</v>
    </oc>
    <nc r="N85">
      <v>26</v>
    </nc>
  </rcc>
  <rcc rId="142057" sId="1">
    <oc r="G86" t="inlineStr">
      <is>
        <t>A321</t>
      </is>
    </oc>
    <nc r="G86" t="inlineStr">
      <is>
        <t>B777</t>
      </is>
    </nc>
  </rcc>
  <rcc rId="142058" sId="1">
    <oc r="H86" t="inlineStr">
      <is>
        <t>ENVOY</t>
      </is>
    </oc>
    <nc r="H86" t="inlineStr">
      <is>
        <t>CARIPORTS</t>
      </is>
    </nc>
  </rcc>
  <rcc rId="142059" sId="1">
    <oc r="I86">
      <v>180</v>
    </oc>
    <nc r="I86">
      <v>189</v>
    </nc>
  </rcc>
  <rcc rId="142060" sId="1">
    <oc r="K86">
      <v>188</v>
    </oc>
    <nc r="K86">
      <v>319</v>
    </nc>
  </rcc>
  <rcc rId="142061" sId="1">
    <oc r="L86">
      <v>16</v>
    </oc>
    <nc r="L86">
      <v>15</v>
    </nc>
  </rcc>
  <rcc rId="142062" sId="1">
    <oc r="M86" t="inlineStr">
      <is>
        <t>B28</t>
      </is>
    </oc>
    <nc r="M86" t="inlineStr">
      <is>
        <t>B30</t>
      </is>
    </nc>
  </rcc>
  <rcc rId="142063" sId="1">
    <oc r="N86">
      <v>28</v>
    </oc>
    <nc r="N86">
      <v>30</v>
    </nc>
  </rcc>
  <rcc rId="142064" sId="1">
    <oc r="G87" t="inlineStr">
      <is>
        <t>A320</t>
      </is>
    </oc>
    <nc r="G87" t="inlineStr">
      <is>
        <t>A321</t>
      </is>
    </nc>
  </rcc>
  <rcc rId="142065" sId="1">
    <oc r="H87" t="inlineStr">
      <is>
        <t>CARIPORTS</t>
      </is>
    </oc>
    <nc r="H87" t="inlineStr">
      <is>
        <t>ENVOY</t>
      </is>
    </nc>
  </rcc>
  <rcc rId="142066" sId="1">
    <oc r="I87">
      <v>153</v>
    </oc>
    <nc r="I87">
      <v>188</v>
    </nc>
  </rcc>
  <rcc rId="142067" sId="1">
    <oc r="K87">
      <v>147</v>
    </oc>
    <nc r="K87">
      <v>171</v>
    </nc>
  </rcc>
  <rcc rId="142068" sId="1">
    <oc r="L87">
      <v>5</v>
    </oc>
    <nc r="L87">
      <v>17</v>
    </nc>
  </rcc>
  <rcc rId="142069" sId="1">
    <oc r="M87" t="inlineStr">
      <is>
        <t>P9</t>
      </is>
    </oc>
    <nc r="M87" t="inlineStr">
      <is>
        <t>B28</t>
      </is>
    </nc>
  </rcc>
  <rcc rId="142070" sId="1">
    <oc r="N87">
      <v>12</v>
    </oc>
    <nc r="N87">
      <v>28</v>
    </nc>
  </rcc>
  <rcc rId="142071" sId="1">
    <oc r="O87" t="inlineStr">
      <is>
        <t>A</t>
      </is>
    </oc>
    <nc r="O87" t="inlineStr">
      <is>
        <t>B</t>
      </is>
    </nc>
  </rcc>
  <rcc rId="142072" sId="1">
    <oc r="G88" t="inlineStr">
      <is>
        <t>B789</t>
      </is>
    </oc>
    <nc r="G88" t="inlineStr">
      <is>
        <t>A320</t>
      </is>
    </nc>
  </rcc>
  <rcc rId="142073" sId="1">
    <oc r="H88" t="inlineStr">
      <is>
        <t>A.A.G.</t>
      </is>
    </oc>
    <nc r="H88" t="inlineStr">
      <is>
        <t>CARIPORTS</t>
      </is>
    </nc>
  </rcc>
  <rcc rId="142074" sId="1">
    <oc r="I88">
      <v>344</v>
    </oc>
    <nc r="I88">
      <v>150</v>
    </nc>
  </rcc>
  <rcc rId="142075" sId="1">
    <oc r="K88">
      <v>325</v>
    </oc>
    <nc r="K88">
      <v>150</v>
    </nc>
  </rcc>
  <rcc rId="142076" sId="1">
    <oc r="M88" t="inlineStr">
      <is>
        <t>P4</t>
      </is>
    </oc>
    <nc r="M88" t="inlineStr">
      <is>
        <t>P6</t>
      </is>
    </nc>
  </rcc>
  <rcc rId="142077" sId="1">
    <oc r="N88">
      <v>2</v>
    </oc>
    <nc r="N88">
      <v>5</v>
    </nc>
  </rcc>
  <rcc rId="142078" sId="1">
    <oc r="G89" t="inlineStr">
      <is>
        <t>A320</t>
      </is>
    </oc>
    <nc r="G89" t="inlineStr">
      <is>
        <t>B787</t>
      </is>
    </nc>
  </rcc>
  <rcc rId="142079" sId="1">
    <oc r="H89" t="inlineStr">
      <is>
        <t>JETBLUE</t>
      </is>
    </oc>
    <nc r="H89" t="inlineStr">
      <is>
        <t>A.A.G.</t>
      </is>
    </nc>
  </rcc>
  <rcc rId="142080" sId="1">
    <oc r="I89">
      <v>102</v>
    </oc>
    <nc r="I89">
      <v>289</v>
    </nc>
  </rcc>
  <rcc rId="142081" sId="1">
    <oc r="J89" t="inlineStr">
      <is>
        <t>N/A</t>
      </is>
    </oc>
    <nc r="J89">
      <v>53</v>
    </nc>
  </rcc>
  <rcc rId="142082" sId="1">
    <oc r="K89">
      <v>162</v>
    </oc>
    <nc r="K89">
      <v>227</v>
    </nc>
  </rcc>
  <rcc rId="142083" sId="1">
    <oc r="L89">
      <v>2</v>
    </oc>
    <nc r="L89">
      <v>6</v>
    </nc>
  </rcc>
  <rcc rId="142084" sId="1">
    <oc r="M89" t="inlineStr">
      <is>
        <t>P3</t>
      </is>
    </oc>
    <nc r="M89" t="inlineStr">
      <is>
        <t>P7</t>
      </is>
    </nc>
  </rcc>
  <rcc rId="142085" sId="1">
    <oc r="N89">
      <v>3</v>
    </oc>
    <nc r="N89">
      <v>8</v>
    </nc>
  </rcc>
  <rcc rId="142086" sId="1">
    <oc r="G90" t="inlineStr">
      <is>
        <t>A220</t>
      </is>
    </oc>
    <nc r="G90" t="inlineStr">
      <is>
        <t>A320</t>
      </is>
    </nc>
  </rcc>
  <rcc rId="142087" sId="1">
    <oc r="I90">
      <v>138</v>
    </oc>
    <nc r="I90">
      <v>76</v>
    </nc>
  </rcc>
  <rcc rId="142088" sId="1">
    <oc r="K90">
      <v>140</v>
    </oc>
    <nc r="K90">
      <v>109</v>
    </nc>
  </rcc>
  <rcc rId="142089" sId="1">
    <oc r="M90" t="inlineStr">
      <is>
        <t>P11</t>
      </is>
    </oc>
    <nc r="M90" t="inlineStr">
      <is>
        <t>P1A</t>
      </is>
    </nc>
  </rcc>
  <rcc rId="142090" sId="1">
    <oc r="N90">
      <v>16</v>
    </oc>
    <nc r="N90">
      <v>4</v>
    </nc>
  </rcc>
  <rcc rId="142091" sId="1">
    <oc r="H91" t="inlineStr">
      <is>
        <t>AVIANCA</t>
      </is>
    </oc>
    <nc r="H91" t="inlineStr">
      <is>
        <t>JETBLUE</t>
      </is>
    </nc>
  </rcc>
  <rcc rId="142092" sId="1">
    <oc r="I91">
      <v>169</v>
    </oc>
    <nc r="I91">
      <v>101</v>
    </nc>
  </rcc>
  <rcc rId="142093" sId="1">
    <oc r="K91">
      <v>175</v>
    </oc>
    <nc r="K91">
      <v>136</v>
    </nc>
  </rcc>
  <rcc rId="142094" sId="1">
    <oc r="L91">
      <v>6</v>
    </oc>
    <nc r="L91">
      <v>3</v>
    </nc>
  </rcc>
  <rcc rId="142095" sId="1">
    <oc r="N91">
      <v>8</v>
    </oc>
    <nc r="N91">
      <v>10</v>
    </nc>
  </rcc>
  <rcc rId="142096" sId="1">
    <oc r="G92" t="inlineStr">
      <is>
        <t>B738</t>
      </is>
    </oc>
    <nc r="G92" t="inlineStr">
      <is>
        <t>A320</t>
      </is>
    </nc>
  </rcc>
  <rcc rId="142097" sId="1">
    <oc r="H92" t="inlineStr">
      <is>
        <t>ENVOY</t>
      </is>
    </oc>
    <nc r="H92" t="inlineStr">
      <is>
        <t>AVIANCA</t>
      </is>
    </nc>
  </rcc>
  <rcc rId="142098" sId="1">
    <oc r="I92">
      <v>121</v>
    </oc>
    <nc r="I92">
      <v>110</v>
    </nc>
  </rcc>
  <rcc rId="142099" sId="1">
    <oc r="K92">
      <v>173</v>
    </oc>
    <nc r="K92">
      <v>170</v>
    </nc>
  </rcc>
  <rcc rId="142100" sId="1">
    <oc r="L92">
      <v>16</v>
    </oc>
    <nc r="L92">
      <v>5</v>
    </nc>
  </rcc>
  <rcc rId="142101" sId="1">
    <oc r="M92" t="inlineStr">
      <is>
        <t>B31</t>
      </is>
    </oc>
    <nc r="M92" t="inlineStr">
      <is>
        <t>P10</t>
      </is>
    </nc>
  </rcc>
  <rcc rId="142102" sId="1">
    <oc r="N92">
      <v>31</v>
    </oc>
    <nc r="N92">
      <v>14</v>
    </nc>
  </rcc>
  <rcc rId="142103" sId="1">
    <oc r="O92" t="inlineStr">
      <is>
        <t>B</t>
      </is>
    </oc>
    <nc r="O92" t="inlineStr">
      <is>
        <t>A</t>
      </is>
    </nc>
  </rcc>
  <rcc rId="142104" sId="1">
    <oc r="G93" t="inlineStr">
      <is>
        <t>A320</t>
      </is>
    </oc>
    <nc r="G93" t="inlineStr">
      <is>
        <t>B738</t>
      </is>
    </nc>
  </rcc>
  <rcc rId="142105" sId="1">
    <oc r="H93" t="inlineStr">
      <is>
        <t>AVIANCA</t>
      </is>
    </oc>
    <nc r="H93" t="inlineStr">
      <is>
        <t>ENVOY</t>
      </is>
    </nc>
  </rcc>
  <rcc rId="142106" sId="1">
    <oc r="I93">
      <v>133</v>
    </oc>
    <nc r="I93">
      <v>114</v>
    </nc>
  </rcc>
  <rcc rId="142107" sId="1">
    <oc r="K93">
      <v>163</v>
    </oc>
    <nc r="K93">
      <v>159</v>
    </nc>
  </rcc>
  <rcc rId="142108" sId="1">
    <oc r="L93">
      <v>3</v>
    </oc>
    <nc r="L93">
      <v>16</v>
    </nc>
  </rcc>
  <rcc rId="142109" sId="1">
    <oc r="M93" t="inlineStr">
      <is>
        <t>P7</t>
      </is>
    </oc>
    <nc r="M93" t="inlineStr">
      <is>
        <t>B27</t>
      </is>
    </nc>
  </rcc>
  <rcc rId="142110" sId="1">
    <oc r="N93">
      <v>6</v>
    </oc>
    <nc r="N93">
      <v>27</v>
    </nc>
  </rcc>
  <rcc rId="142111" sId="1">
    <oc r="O93" t="inlineStr">
      <is>
        <t>A</t>
      </is>
    </oc>
    <nc r="O93" t="inlineStr">
      <is>
        <t>B</t>
      </is>
    </nc>
  </rcc>
  <rcc rId="142112" sId="1">
    <oc r="G94" t="inlineStr">
      <is>
        <t>B738</t>
      </is>
    </oc>
    <nc r="G94" t="inlineStr">
      <is>
        <t>B38M</t>
      </is>
    </nc>
  </rcc>
  <rcc rId="142113" sId="1">
    <oc r="I94">
      <v>165</v>
    </oc>
    <nc r="I94">
      <v>160</v>
    </nc>
  </rcc>
  <rcc rId="142114" sId="1">
    <oc r="J94" t="inlineStr">
      <is>
        <t>N/A</t>
      </is>
    </oc>
    <nc r="J94">
      <v>1</v>
    </nc>
  </rcc>
  <rcc rId="142115" sId="1">
    <oc r="L94">
      <v>11</v>
    </oc>
    <nc r="L94">
      <v>12</v>
    </nc>
  </rcc>
  <rcc rId="142116" sId="1">
    <oc r="G95" t="inlineStr">
      <is>
        <t>B39M</t>
      </is>
    </oc>
    <nc r="G95" t="inlineStr">
      <is>
        <t>A320</t>
      </is>
    </nc>
  </rcc>
  <rcc rId="142117" sId="1">
    <oc r="H95" t="inlineStr">
      <is>
        <t>UNITED</t>
      </is>
    </oc>
    <nc r="H95" t="inlineStr">
      <is>
        <t>AVIANCA</t>
      </is>
    </nc>
  </rcc>
  <rcc rId="142118" sId="1">
    <oc r="I95">
      <v>179</v>
    </oc>
    <nc r="I95">
      <v>96</v>
    </nc>
  </rcc>
  <rcc rId="142119" sId="1">
    <oc r="K95">
      <v>164</v>
    </oc>
    <nc r="K95">
      <v>168</v>
    </nc>
  </rcc>
  <rcc rId="142120" sId="1">
    <oc r="L95">
      <v>12</v>
    </oc>
    <nc r="L95">
      <v>3</v>
    </nc>
  </rcc>
  <rcc rId="142121" sId="1">
    <oc r="M95" t="inlineStr">
      <is>
        <t>B20</t>
      </is>
    </oc>
    <nc r="M95" t="inlineStr">
      <is>
        <t>P9</t>
      </is>
    </nc>
  </rcc>
  <rcc rId="142122" sId="1">
    <oc r="N95">
      <v>20</v>
    </oc>
    <nc r="N95">
      <v>11</v>
    </nc>
  </rcc>
  <rcc rId="142123" sId="1">
    <oc r="O95" t="inlineStr">
      <is>
        <t>B</t>
      </is>
    </oc>
    <nc r="O95" t="inlineStr">
      <is>
        <t>A</t>
      </is>
    </nc>
  </rcc>
  <rcc rId="142124" sId="1">
    <oc r="G96" t="inlineStr">
      <is>
        <t>A320</t>
      </is>
    </oc>
    <nc r="G96" t="inlineStr">
      <is>
        <t>B738</t>
      </is>
    </nc>
  </rcc>
  <rcc rId="142125" sId="1">
    <oc r="H96" t="inlineStr">
      <is>
        <t>E.T HEINSEN</t>
      </is>
    </oc>
    <nc r="H96" t="inlineStr">
      <is>
        <t>A.A.G.</t>
      </is>
    </nc>
  </rcc>
  <rcc rId="142126" sId="1">
    <oc r="I96">
      <v>178</v>
    </oc>
    <nc r="I96">
      <v>112</v>
    </nc>
  </rcc>
  <rcc rId="142127" sId="1">
    <oc r="K96">
      <v>166</v>
    </oc>
    <nc r="K96">
      <v>112</v>
    </nc>
  </rcc>
  <rcc rId="142128" sId="1">
    <oc r="L96">
      <v>5</v>
    </oc>
    <nc r="L96">
      <v>11</v>
    </nc>
  </rcc>
  <rcc rId="142129" sId="1">
    <oc r="M96" t="inlineStr">
      <is>
        <t>P5</t>
      </is>
    </oc>
    <nc r="M96" t="inlineStr">
      <is>
        <t>B24</t>
      </is>
    </nc>
  </rcc>
  <rcc rId="142130" sId="1">
    <oc r="N96">
      <v>9</v>
    </oc>
    <nc r="N96">
      <v>24</v>
    </nc>
  </rcc>
  <rcc rId="142131" sId="1">
    <oc r="O96" t="inlineStr">
      <is>
        <t>A</t>
      </is>
    </oc>
    <nc r="O96" t="inlineStr">
      <is>
        <t>B</t>
      </is>
    </nc>
  </rcc>
  <rcc rId="142132" sId="1">
    <oc r="G97" t="inlineStr">
      <is>
        <t>B737</t>
      </is>
    </oc>
    <nc r="G97" t="inlineStr">
      <is>
        <t>B39M</t>
      </is>
    </nc>
  </rcc>
  <rcc rId="142133" sId="1">
    <oc r="H97" t="inlineStr">
      <is>
        <t>SERVAIR</t>
      </is>
    </oc>
    <nc r="H97" t="inlineStr">
      <is>
        <t>UNITED</t>
      </is>
    </nc>
  </rcc>
  <rcc rId="142134" sId="1">
    <oc r="I97">
      <v>170</v>
    </oc>
    <nc r="I97">
      <v>149</v>
    </nc>
  </rcc>
  <rcc rId="142135" sId="1">
    <oc r="K97">
      <v>189</v>
    </oc>
    <nc r="K97">
      <v>145</v>
    </nc>
  </rcc>
  <rcc rId="142136" sId="1">
    <oc r="L97">
      <v>1</v>
    </oc>
    <nc r="L97">
      <v>13</v>
    </nc>
  </rcc>
  <rcc rId="142137" sId="1">
    <oc r="M97" t="inlineStr">
      <is>
        <t>P6</t>
      </is>
    </oc>
    <nc r="M97" t="inlineStr">
      <is>
        <t>B21</t>
      </is>
    </nc>
  </rcc>
  <rcc rId="142138" sId="1">
    <oc r="N97">
      <v>11</v>
    </oc>
    <nc r="N97">
      <v>21</v>
    </nc>
  </rcc>
  <rcc rId="142139" sId="1">
    <oc r="O97" t="inlineStr">
      <is>
        <t>A</t>
      </is>
    </oc>
    <nc r="O97" t="inlineStr">
      <is>
        <t>B</t>
      </is>
    </nc>
  </rcc>
  <rcc rId="142140" sId="1">
    <oc r="G98" t="inlineStr">
      <is>
        <t>A333</t>
      </is>
    </oc>
    <nc r="G98" t="inlineStr">
      <is>
        <t>A320</t>
      </is>
    </nc>
  </rcc>
  <rcc rId="142141" sId="1">
    <oc r="H98" t="inlineStr">
      <is>
        <t>A.A.G.</t>
      </is>
    </oc>
    <nc r="H98" t="inlineStr">
      <is>
        <t>E.T HEINSEN</t>
      </is>
    </nc>
  </rcc>
  <rcc rId="142142" sId="1">
    <oc r="I98">
      <v>330</v>
    </oc>
    <nc r="I98">
      <v>145</v>
    </nc>
  </rcc>
  <rcc rId="142143" sId="1">
    <oc r="K98">
      <v>341</v>
    </oc>
    <nc r="K98">
      <v>150</v>
    </nc>
  </rcc>
  <rcc rId="142144" sId="1">
    <oc r="M98" t="inlineStr">
      <is>
        <t>P9A</t>
      </is>
    </oc>
    <nc r="M98" t="inlineStr">
      <is>
        <t>P11</t>
      </is>
    </nc>
  </rcc>
  <rcc rId="142145" sId="1">
    <oc r="N98">
      <v>12</v>
    </oc>
    <nc r="N98">
      <v>16</v>
    </nc>
  </rcc>
  <rcc rId="142146" sId="1">
    <oc r="G99" t="inlineStr">
      <is>
        <t>MD82</t>
      </is>
    </oc>
    <nc r="G99" t="inlineStr">
      <is>
        <t>A320</t>
      </is>
    </nc>
  </rcc>
  <rcc rId="142147" sId="1">
    <oc r="H99" t="inlineStr">
      <is>
        <t>A.A.G.</t>
      </is>
    </oc>
    <nc r="H99" t="inlineStr">
      <is>
        <t>E.T HEINSEN</t>
      </is>
    </nc>
  </rcc>
  <rcc rId="142148" sId="1">
    <oc r="I99" t="inlineStr">
      <is>
        <t>N/A</t>
      </is>
    </oc>
    <nc r="I99">
      <v>142</v>
    </nc>
  </rcc>
  <rcc rId="142149" sId="1">
    <oc r="K99" t="inlineStr">
      <is>
        <t>N/A</t>
      </is>
    </oc>
    <nc r="K99">
      <v>149</v>
    </nc>
  </rcc>
  <rcc rId="142150" sId="1">
    <oc r="L99" t="inlineStr">
      <is>
        <t>N/A</t>
      </is>
    </oc>
    <nc r="L99">
      <v>2</v>
    </nc>
  </rcc>
  <rcc rId="142151" sId="1">
    <oc r="M99" t="inlineStr">
      <is>
        <t>N4</t>
      </is>
    </oc>
    <nc r="M99" t="inlineStr">
      <is>
        <t>P8</t>
      </is>
    </nc>
  </rcc>
  <rcc rId="142152" sId="1">
    <oc r="N99" t="inlineStr">
      <is>
        <t>N/A</t>
      </is>
    </oc>
    <nc r="N99">
      <v>9</v>
    </nc>
  </rcc>
  <rcc rId="142153" sId="1">
    <oc r="G100" t="inlineStr">
      <is>
        <t>A339</t>
      </is>
    </oc>
    <nc r="G100" t="inlineStr">
      <is>
        <t>A330</t>
      </is>
    </nc>
  </rcc>
  <rcc rId="142154" sId="1">
    <oc r="I100">
      <v>254</v>
    </oc>
    <nc r="I100">
      <v>193</v>
    </nc>
  </rcc>
  <rcc rId="142155" sId="1">
    <oc r="K100">
      <v>310</v>
    </oc>
    <nc r="K100">
      <v>305</v>
    </nc>
  </rcc>
  <rcc rId="142156" sId="1">
    <oc r="L100">
      <v>1</v>
    </oc>
    <nc r="L100">
      <v>6</v>
    </nc>
  </rcc>
  <rcc rId="142157" sId="1">
    <oc r="G101" t="inlineStr">
      <is>
        <t>B737</t>
      </is>
    </oc>
    <nc r="G101" t="inlineStr">
      <is>
        <t>B787</t>
      </is>
    </nc>
  </rcc>
  <rcc rId="142158" sId="1">
    <oc r="I101">
      <v>159</v>
    </oc>
    <nc r="I101">
      <v>303</v>
    </nc>
  </rcc>
  <rcc rId="142159" sId="1">
    <oc r="K101">
      <v>159</v>
    </oc>
    <nc r="K101">
      <v>333</v>
    </nc>
  </rcc>
  <rcc rId="142160" sId="1">
    <oc r="L101">
      <v>3</v>
    </oc>
    <nc r="L101">
      <v>13</v>
    </nc>
  </rcc>
  <rcc rId="142161" sId="1">
    <oc r="M101" t="inlineStr">
      <is>
        <t>N5</t>
      </is>
    </oc>
    <nc r="M101" t="inlineStr">
      <is>
        <t>B25</t>
      </is>
    </nc>
  </rcc>
  <rcc rId="142162" sId="1">
    <oc r="N101">
      <v>10</v>
    </oc>
    <nc r="N101">
      <v>25</v>
    </nc>
  </rcc>
  <rcc rId="142163" sId="1">
    <oc r="O101" t="inlineStr">
      <is>
        <t>A</t>
      </is>
    </oc>
    <nc r="O101" t="inlineStr">
      <is>
        <t>B</t>
      </is>
    </nc>
  </rcc>
  <rcc rId="142164" sId="1">
    <oc r="G102" t="inlineStr">
      <is>
        <t>A320</t>
      </is>
    </oc>
    <nc r="G102" t="inlineStr">
      <is>
        <t>B38M</t>
      </is>
    </nc>
  </rcc>
  <rcc rId="142165" sId="1">
    <oc r="H102" t="inlineStr">
      <is>
        <t>E.T HEINSEN</t>
      </is>
    </oc>
    <nc r="H102" t="inlineStr">
      <is>
        <t>A.A.G.</t>
      </is>
    </nc>
  </rcc>
  <rcc rId="142166" sId="1">
    <oc r="I102">
      <v>174</v>
    </oc>
    <nc r="I102"/>
  </rcc>
  <rcc rId="142167" sId="1">
    <oc r="K102">
      <v>155</v>
    </oc>
    <nc r="K102">
      <v>140</v>
    </nc>
  </rcc>
  <rcc rId="142168" sId="1">
    <oc r="L102">
      <v>2</v>
    </oc>
    <nc r="L102">
      <v>11</v>
    </nc>
  </rcc>
  <rcc rId="142169" sId="1">
    <oc r="M102" t="inlineStr">
      <is>
        <t>P6</t>
      </is>
    </oc>
    <nc r="M102" t="inlineStr">
      <is>
        <t>B20</t>
      </is>
    </nc>
  </rcc>
  <rcc rId="142170" sId="1">
    <oc r="N102">
      <v>10</v>
    </oc>
    <nc r="N102">
      <v>24</v>
    </nc>
  </rcc>
  <rcc rId="142171" sId="1">
    <oc r="O102" t="inlineStr">
      <is>
        <t>A</t>
      </is>
    </oc>
    <nc r="O102" t="inlineStr">
      <is>
        <t>B</t>
      </is>
    </nc>
  </rcc>
  <rcc rId="142172" sId="1">
    <oc r="G103" t="inlineStr">
      <is>
        <t>B787</t>
      </is>
    </oc>
    <nc r="G103" t="inlineStr">
      <is>
        <t>A20N</t>
      </is>
    </nc>
  </rcc>
  <rcc rId="142173" sId="1">
    <oc r="H103" t="inlineStr">
      <is>
        <t>SERVAIR</t>
      </is>
    </oc>
    <nc r="H103" t="inlineStr">
      <is>
        <t>CARIPORTS</t>
      </is>
    </nc>
  </rcc>
  <rcc rId="142174" sId="1">
    <oc r="I103">
      <v>250</v>
    </oc>
    <nc r="I103">
      <v>74</v>
    </nc>
  </rcc>
  <rcc rId="142175" sId="1">
    <oc r="K103">
      <v>311</v>
    </oc>
    <nc r="K103">
      <v>93</v>
    </nc>
  </rcc>
  <rcc rId="142176" sId="1">
    <oc r="L103">
      <v>13</v>
    </oc>
    <nc r="L103">
      <v>1</v>
    </nc>
  </rcc>
  <rcc rId="142177" sId="1">
    <oc r="M103" t="inlineStr">
      <is>
        <t>B25</t>
      </is>
    </oc>
    <nc r="M103" t="inlineStr">
      <is>
        <t>P8</t>
      </is>
    </nc>
  </rcc>
  <rcc rId="142178" sId="1">
    <oc r="N103">
      <v>25</v>
    </oc>
    <nc r="N103">
      <v>8</v>
    </nc>
  </rcc>
  <rcc rId="142179" sId="1">
    <oc r="O103" t="inlineStr">
      <is>
        <t>B</t>
      </is>
    </oc>
    <nc r="O103" t="inlineStr">
      <is>
        <t>A</t>
      </is>
    </nc>
  </rcc>
  <rcc rId="142180" sId="1">
    <oc r="G104" t="inlineStr">
      <is>
        <t>A330</t>
      </is>
    </oc>
    <nc r="G104" t="inlineStr">
      <is>
        <t>B38M</t>
      </is>
    </nc>
  </rcc>
  <rcc rId="142181" sId="1">
    <oc r="H104" t="inlineStr">
      <is>
        <t>CARIPORTS</t>
      </is>
    </oc>
    <nc r="H104" t="inlineStr">
      <is>
        <t>A.A.G.</t>
      </is>
    </nc>
  </rcc>
  <rcc rId="142182" sId="1">
    <oc r="I104">
      <v>357</v>
    </oc>
    <nc r="I104">
      <v>141</v>
    </nc>
  </rcc>
  <rcc rId="142183" sId="1">
    <oc r="J104" t="inlineStr">
      <is>
        <t>N/A</t>
      </is>
    </oc>
    <nc r="J104">
      <v>13</v>
    </nc>
  </rcc>
  <rcc rId="142184" sId="1">
    <oc r="L104">
      <v>1</v>
    </oc>
    <nc r="L104">
      <v>12</v>
    </nc>
  </rcc>
  <rcc rId="142185" sId="1">
    <oc r="M104" t="inlineStr">
      <is>
        <t>P7</t>
      </is>
    </oc>
    <nc r="M104" t="inlineStr">
      <is>
        <t>B24</t>
      </is>
    </nc>
  </rcc>
  <rcc rId="142186" sId="1">
    <oc r="N104">
      <v>1</v>
    </oc>
    <nc r="N104">
      <v>20</v>
    </nc>
  </rcc>
  <rcc rId="142187" sId="1">
    <oc r="O104" t="inlineStr">
      <is>
        <t>A</t>
      </is>
    </oc>
    <nc r="O104" t="inlineStr">
      <is>
        <t>B</t>
      </is>
    </nc>
  </rcc>
  <rcc rId="142188" sId="1">
    <oc r="G105" t="inlineStr">
      <is>
        <t>B737</t>
      </is>
    </oc>
    <nc r="G105" t="inlineStr">
      <is>
        <t>B38M</t>
      </is>
    </nc>
  </rcc>
  <rcc rId="142189" sId="1">
    <oc r="H105" t="inlineStr">
      <is>
        <t>SERVAIR</t>
      </is>
    </oc>
    <nc r="H105" t="inlineStr">
      <is>
        <t>A.A.G.</t>
      </is>
    </nc>
  </rcc>
  <rcc rId="142190" sId="1">
    <oc r="I105">
      <v>170</v>
    </oc>
    <nc r="I105">
      <v>123</v>
    </nc>
  </rcc>
  <rcc rId="142191" sId="1">
    <oc r="J105" t="inlineStr">
      <is>
        <t>N/A</t>
      </is>
    </oc>
    <nc r="J105">
      <v>17</v>
    </nc>
  </rcc>
  <rcc rId="142192" sId="1">
    <oc r="L105">
      <v>2</v>
    </oc>
    <nc r="L105">
      <v>11</v>
    </nc>
  </rcc>
  <rcc rId="142193" sId="1">
    <oc r="M105" t="inlineStr">
      <is>
        <t>P8A</t>
      </is>
    </oc>
    <nc r="M105" t="inlineStr">
      <is>
        <t>B24</t>
      </is>
    </nc>
  </rcc>
  <rcc rId="142194" sId="1">
    <oc r="N105">
      <v>7</v>
    </oc>
    <nc r="N105">
      <v>24</v>
    </nc>
  </rcc>
  <rcc rId="142195" sId="1">
    <oc r="O105" t="inlineStr">
      <is>
        <t>A</t>
      </is>
    </oc>
    <nc r="O105" t="inlineStr">
      <is>
        <t>B</t>
      </is>
    </nc>
  </rcc>
  <rrc rId="142196" sId="1" ref="A106:XFD106" action="deleteRow"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10008C5C_A4D1_48FA_8FA6_39A95B03682D_.wvu.Cols" sId="1"/>
    <undo index="65535" exp="area" ref3D="1" dr="$J$1:$J$1048576" dn="Z_36BAE4F1_545D_451B_981E_D0F138A15196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0B00F9FE_457A_4763_9AC1_CFA1966B22A2_.wvu.Cols" sId="1"/>
    <rfmt sheetId="1" xfDxf="1" sqref="A106:XFD106" start="0" length="0">
      <dxf>
        <font>
          <sz val="16"/>
          <family val="2"/>
        </font>
        <alignment horizontal="center" vertical="center"/>
      </dxf>
    </rfmt>
    <rcc rId="0" sId="1" dxf="1" numFmtId="4">
      <nc r="A106">
        <v>104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6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42197" sId="1" ref="A106:XFD106" action="deleteRow"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10008C5C_A4D1_48FA_8FA6_39A95B03682D_.wvu.Cols" sId="1"/>
    <undo index="65535" exp="area" ref3D="1" dr="$J$1:$J$1048576" dn="Z_36BAE4F1_545D_451B_981E_D0F138A15196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0B00F9FE_457A_4763_9AC1_CFA1966B22A2_.wvu.Cols" sId="1"/>
    <rfmt sheetId="1" xfDxf="1" sqref="A106:XFD106" start="0" length="0">
      <dxf>
        <font>
          <sz val="16"/>
          <family val="2"/>
        </font>
        <alignment horizontal="center" vertical="center"/>
      </dxf>
    </rfmt>
    <rcc rId="0" sId="1" dxf="1" numFmtId="4">
      <nc r="A106">
        <v>105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6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42198" sId="1" ref="A106:XFD106" action="deleteRow"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10008C5C_A4D1_48FA_8FA6_39A95B03682D_.wvu.Cols" sId="1"/>
    <undo index="65535" exp="area" ref3D="1" dr="$J$1:$J$1048576" dn="Z_36BAE4F1_545D_451B_981E_D0F138A15196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0B00F9FE_457A_4763_9AC1_CFA1966B22A2_.wvu.Cols" sId="1"/>
    <rfmt sheetId="1" xfDxf="1" sqref="A106:XFD106" start="0" length="0">
      <dxf>
        <font>
          <sz val="16"/>
          <family val="2"/>
        </font>
        <alignment horizontal="center" vertical="center"/>
      </dxf>
    </rfmt>
    <rcc rId="0" sId="1" dxf="1" numFmtId="4">
      <nc r="A106">
        <v>106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6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42199" sId="1" ref="A106:XFD106" action="deleteRow"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10008C5C_A4D1_48FA_8FA6_39A95B03682D_.wvu.Cols" sId="1"/>
    <undo index="65535" exp="area" ref3D="1" dr="$J$1:$J$1048576" dn="Z_36BAE4F1_545D_451B_981E_D0F138A15196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0B00F9FE_457A_4763_9AC1_CFA1966B22A2_.wvu.Cols" sId="1"/>
    <rfmt sheetId="1" xfDxf="1" sqref="A106:XFD106" start="0" length="0">
      <dxf>
        <font>
          <sz val="16"/>
          <family val="2"/>
        </font>
        <alignment horizontal="center" vertical="center"/>
      </dxf>
    </rfmt>
    <rcc rId="0" sId="1" dxf="1" numFmtId="4">
      <nc r="A106">
        <v>107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6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42200" sId="1" ref="A106:XFD106" action="deleteRow" edge="1"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10008C5C_A4D1_48FA_8FA6_39A95B03682D_.wvu.Cols" sId="1"/>
    <undo index="65535" exp="area" ref3D="1" dr="$J$1:$J$1048576" dn="Z_36BAE4F1_545D_451B_981E_D0F138A15196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0B00F9FE_457A_4763_9AC1_CFA1966B22A2_.wvu.Cols" sId="1"/>
    <rfmt sheetId="1" xfDxf="1" sqref="A106:XFD106" start="0" length="0">
      <dxf>
        <font>
          <sz val="16"/>
          <family val="2"/>
        </font>
        <alignment horizontal="center" vertical="center"/>
      </dxf>
    </rfmt>
    <rcc rId="0" sId="1" dxf="1" numFmtId="4">
      <nc r="A106">
        <v>108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6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6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6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6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6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142201" sId="1">
    <oc r="G19" t="inlineStr">
      <is>
        <t>B738</t>
      </is>
    </oc>
    <nc r="G19" t="inlineStr">
      <is>
        <t>A220</t>
      </is>
    </nc>
  </rcc>
  <rcc rId="142202" sId="1">
    <oc r="G91" t="inlineStr">
      <is>
        <t>A320</t>
      </is>
    </oc>
    <nc r="G91" t="inlineStr">
      <is>
        <t>A220</t>
      </is>
    </nc>
  </rcc>
  <rcc rId="142203" sId="1">
    <oc r="L10">
      <v>1</v>
    </oc>
    <nc r="L10" t="inlineStr">
      <is>
        <t>N/A</t>
      </is>
    </nc>
  </rcc>
  <rcc rId="142204" sId="1">
    <oc r="L52">
      <v>12</v>
    </oc>
    <nc r="L52" t="inlineStr">
      <is>
        <t>N/A</t>
      </is>
    </nc>
  </rcc>
  <rcc rId="142205" sId="1">
    <oc r="C3" t="inlineStr">
      <is>
        <t>DWI 6086</t>
      </is>
    </oc>
    <nc r="C3" t="inlineStr">
      <is>
        <t>DWI 6263</t>
      </is>
    </nc>
  </rcc>
  <rcc rId="142206" sId="1">
    <oc r="C4" t="inlineStr">
      <is>
        <t>UAL 17333</t>
      </is>
    </oc>
    <nc r="C4" t="inlineStr">
      <is>
        <t>DWI 0000</t>
      </is>
    </nc>
  </rcc>
  <rcc rId="142207" sId="1">
    <oc r="F4" t="inlineStr">
      <is>
        <t>PUJ-DEN</t>
      </is>
    </oc>
    <nc r="F4" t="inlineStr">
      <is>
        <t>PUJ-SDQ</t>
      </is>
    </nc>
  </rcc>
  <rcc rId="142208" sId="1">
    <oc r="F3" t="inlineStr">
      <is>
        <t>PUJ-GRU</t>
      </is>
    </oc>
    <nc r="F3" t="inlineStr">
      <is>
        <t>PUJ-EZE</t>
      </is>
    </nc>
  </rcc>
  <rcc rId="142209" sId="1">
    <oc r="M4" t="inlineStr">
      <is>
        <t>B26A</t>
      </is>
    </oc>
    <nc r="M4" t="inlineStr">
      <is>
        <t>B37</t>
      </is>
    </nc>
  </rcc>
  <rcc rId="142210" sId="1">
    <oc r="C5" t="inlineStr">
      <is>
        <t>UCG 194</t>
      </is>
    </oc>
    <nc r="C5" t="inlineStr">
      <is>
        <t>AMX 9704</t>
      </is>
    </nc>
  </rcc>
  <rcc rId="142211" sId="1">
    <oc r="F5" t="inlineStr">
      <is>
        <t>PUJ-CCS</t>
      </is>
    </oc>
    <nc r="F5" t="inlineStr">
      <is>
        <t>PUJ-NLU</t>
      </is>
    </nc>
  </rcc>
  <rcc rId="142212" sId="1">
    <oc r="C6" t="inlineStr">
      <is>
        <t>TSC 987</t>
      </is>
    </oc>
    <nc r="C6" t="inlineStr">
      <is>
        <t>DWI 6260</t>
      </is>
    </nc>
  </rcc>
  <rcc rId="142213" sId="1">
    <oc r="C7" t="inlineStr">
      <is>
        <t>DWI 5420</t>
      </is>
    </oc>
    <nc r="C7" t="inlineStr">
      <is>
        <t>DWI 6268</t>
      </is>
    </nc>
  </rcc>
  <rcc rId="142214" sId="1">
    <oc r="F6" t="inlineStr">
      <is>
        <t>PUJ-YYZ</t>
      </is>
    </oc>
    <nc r="F6" t="inlineStr">
      <is>
        <t>PUJ-EZE</t>
      </is>
    </nc>
  </rcc>
  <rcc rId="142215" sId="1">
    <oc r="F7" t="inlineStr">
      <is>
        <t>SDQ-PUJ-ORD</t>
      </is>
    </oc>
    <nc r="F7" t="inlineStr">
      <is>
        <t>PUJ-EZE</t>
      </is>
    </nc>
  </rcc>
  <rcc rId="142216" sId="1">
    <oc r="K6">
      <v>191</v>
    </oc>
    <nc r="K6">
      <v>161</v>
    </nc>
  </rcc>
  <rcc rId="142217" sId="1" numFmtId="23">
    <oc r="E105">
      <v>46167.822222222225</v>
    </oc>
    <nc r="E105" t="inlineStr">
      <is>
        <t>OVER</t>
      </is>
    </nc>
  </rcc>
  <rcc rId="142218" sId="1">
    <oc r="C105" t="inlineStr">
      <is>
        <t>RPB 7438/7439</t>
      </is>
    </oc>
    <nc r="C105" t="inlineStr">
      <is>
        <t>DWI 7101</t>
      </is>
    </nc>
  </rcc>
  <rcc rId="142219" sId="1" numFmtId="23">
    <oc r="E104">
      <v>46167.878472222219</v>
    </oc>
    <nc r="E104" t="inlineStr">
      <is>
        <t>OVER</t>
      </is>
    </nc>
  </rcc>
  <rcc rId="142220" sId="1">
    <oc r="C104" t="inlineStr">
      <is>
        <t>OBS 851/852</t>
      </is>
    </oc>
    <nc r="C104" t="inlineStr">
      <is>
        <t>DWI 7003</t>
      </is>
    </nc>
  </rcc>
  <rcc rId="142221" sId="1">
    <oc r="F104" t="inlineStr">
      <is>
        <t>LIS-PUJ-LIS</t>
      </is>
    </oc>
    <nc r="F104" t="inlineStr">
      <is>
        <t>CUN-PUJ</t>
      </is>
    </nc>
  </rcc>
  <rcc rId="142222" sId="1">
    <oc r="F105" t="inlineStr">
      <is>
        <t>MDE-PUJ-MDE</t>
      </is>
    </oc>
    <nc r="F105" t="inlineStr">
      <is>
        <t>NLU-PUJ</t>
      </is>
    </nc>
  </rcc>
  <rcc rId="142223" sId="1">
    <oc r="I10">
      <v>94</v>
    </oc>
    <nc r="I10" t="inlineStr">
      <is>
        <t>N/A</t>
      </is>
    </nc>
  </rcc>
  <rcc rId="142224" sId="1">
    <oc r="I52">
      <v>158</v>
    </oc>
    <nc r="I52" t="inlineStr">
      <is>
        <t>N/A</t>
      </is>
    </nc>
  </rcc>
  <rm rId="142225" sheetId="1" source="I3" destination="I102" sourceSheetId="1">
    <undo index="65535" exp="area" dr="I3:I102" r="I106" sId="1"/>
    <rfmt sheetId="1" sqref="I102" start="0" length="0">
      <dxf>
        <font>
          <sz val="18"/>
          <color auto="1"/>
          <name val="Arial"/>
          <family val="2"/>
          <scheme val="none"/>
        </font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142226" sId="1" odxf="1" dxf="1">
    <nc r="I3" t="inlineStr">
      <is>
        <t>N/A</t>
      </is>
    </nc>
    <odxf>
      <font>
        <sz val="16"/>
        <family val="2"/>
      </font>
      <fill>
        <patternFill patternType="solid">
          <bgColor theme="0"/>
        </patternFill>
      </fill>
      <alignment vertical="center"/>
      <border outline="0">
        <left/>
        <right/>
        <top/>
        <bottom/>
      </border>
    </odxf>
    <ndxf>
      <font>
        <sz val="18"/>
        <family val="2"/>
      </font>
      <fill>
        <patternFill patternType="none">
          <bgColor indexed="65"/>
        </patternFill>
      </fill>
      <alignment vertical="top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42227" sId="1">
    <oc r="I6">
      <v>38</v>
    </oc>
    <nc r="I6" t="inlineStr">
      <is>
        <t>N/A</t>
      </is>
    </nc>
  </rcc>
  <rcc rId="142228" sId="1">
    <oc r="I33">
      <v>118</v>
    </oc>
    <nc r="I33" t="inlineStr">
      <is>
        <t>N/A</t>
      </is>
    </nc>
  </rcc>
  <rcc rId="142229" sId="1">
    <oc r="J11">
      <v>3</v>
    </oc>
    <nc r="J11" t="inlineStr">
      <is>
        <t>N/A</t>
      </is>
    </nc>
  </rcc>
  <rcc rId="142230" sId="1">
    <oc r="J25">
      <v>18</v>
    </oc>
    <nc r="J25" t="inlineStr">
      <is>
        <t>N/A</t>
      </is>
    </nc>
  </rcc>
  <rcc rId="142231" sId="1">
    <oc r="J27">
      <v>12</v>
    </oc>
    <nc r="J27" t="inlineStr">
      <is>
        <t>N/A</t>
      </is>
    </nc>
  </rcc>
  <rcc rId="142232" sId="1">
    <oc r="J34">
      <v>5</v>
    </oc>
    <nc r="J34" t="inlineStr">
      <is>
        <t>N/A</t>
      </is>
    </nc>
  </rcc>
  <rcc rId="142233" sId="1">
    <oc r="J52">
      <v>2</v>
    </oc>
    <nc r="J52" t="inlineStr">
      <is>
        <t>N/A</t>
      </is>
    </nc>
  </rcc>
  <rcc rId="142234" sId="1">
    <oc r="J53">
      <v>9</v>
    </oc>
    <nc r="J53" t="inlineStr">
      <is>
        <t>N/A</t>
      </is>
    </nc>
  </rcc>
  <rcc rId="142235" sId="1">
    <oc r="K52">
      <v>142</v>
    </oc>
    <nc r="K52" t="inlineStr">
      <is>
        <t>N/A</t>
      </is>
    </nc>
  </rcc>
  <rcc rId="142236" sId="1">
    <oc r="K10">
      <v>161</v>
    </oc>
    <nc r="K10" t="inlineStr">
      <is>
        <t>N/A</t>
      </is>
    </nc>
  </rcc>
  <rcc rId="142237" sId="1">
    <oc r="K12">
      <v>162</v>
    </oc>
    <nc r="K12" t="inlineStr">
      <is>
        <t>N/A</t>
      </is>
    </nc>
  </rcc>
  <rcc rId="142238" sId="1">
    <oc r="K94">
      <v>162</v>
    </oc>
    <nc r="K94" t="inlineStr">
      <is>
        <t>N/A</t>
      </is>
    </nc>
  </rcc>
  <rcc rId="142239" sId="1">
    <oc r="K104">
      <v>361</v>
    </oc>
    <nc r="K104" t="inlineStr">
      <is>
        <t>N/A</t>
      </is>
    </nc>
  </rcc>
  <rcc rId="142240" sId="1">
    <oc r="K105">
      <v>170</v>
    </oc>
    <nc r="K105" t="inlineStr">
      <is>
        <t>N/A</t>
      </is>
    </nc>
  </rcc>
  <rcc rId="142241" sId="1">
    <oc r="N10">
      <v>15</v>
    </oc>
    <nc r="N10" t="inlineStr">
      <is>
        <t>N/A</t>
      </is>
    </nc>
  </rcc>
  <rcc rId="142242" sId="1">
    <oc r="N12">
      <v>13</v>
    </oc>
    <nc r="N12">
      <v>25</v>
    </nc>
  </rcc>
  <rcc rId="142243" sId="1">
    <oc r="N52">
      <v>21</v>
    </oc>
    <nc r="N52" t="inlineStr">
      <is>
        <t>N/A</t>
      </is>
    </nc>
  </rcc>
  <rcv guid="{FA56863A-4051-4578-AF28-08DCC59DE096}" action="delete"/>
  <rdn rId="0" localSheetId="1" customView="1" name="Z_FA56863A_4051_4578_AF28_08DCC59DE096_.wvu.PrintArea" hidden="1" oldHidden="1">
    <formula>Fecha!$A$1:$O$106</formula>
    <oldFormula>Fecha!$A$1:$O$106</oldFormula>
  </rdn>
  <rdn rId="0" localSheetId="1" customView="1" name="Z_FA56863A_4051_4578_AF28_08DCC59DE096_.wvu.FilterData" hidden="1" oldHidden="1">
    <formula>Fecha!$A$2:$O$106</formula>
    <oldFormula>Fecha!$A$2:$O$106</oldFormula>
  </rdn>
  <rcv guid="{FA56863A-4051-4578-AF28-08DCC59DE096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304" sId="1">
    <oc r="B103" t="inlineStr">
      <is>
        <t>WORLD2FLY ESPAÑA</t>
      </is>
    </oc>
    <nc r="B103"/>
  </rcc>
  <rcc rId="138305" sId="1">
    <oc r="C103" t="inlineStr">
      <is>
        <t>WFL 3503/3504</t>
      </is>
    </oc>
    <nc r="C103"/>
  </rcc>
  <rcc rId="138306" sId="1" numFmtId="23">
    <oc r="D103">
      <v>46158.722222222219</v>
    </oc>
    <nc r="D103"/>
  </rcc>
  <rcc rId="138307" sId="1" numFmtId="23">
    <oc r="E103">
      <v>46158.805555555555</v>
    </oc>
    <nc r="E103"/>
  </rcc>
  <rcc rId="138308" sId="1">
    <oc r="F103" t="inlineStr">
      <is>
        <t>MAD-PUJ-MAD</t>
      </is>
    </oc>
    <nc r="F103"/>
  </rcc>
  <rcc rId="138309" sId="1">
    <oc r="G103" t="inlineStr">
      <is>
        <t>A359</t>
      </is>
    </oc>
    <nc r="G103"/>
  </rcc>
  <rcc rId="138310" sId="1">
    <oc r="H103" t="inlineStr">
      <is>
        <t>A.A.G.</t>
      </is>
    </oc>
    <nc r="H103"/>
  </rcc>
  <rcc rId="138311" sId="1">
    <oc r="I103">
      <v>363</v>
    </oc>
    <nc r="I103"/>
  </rcc>
  <rcc rId="138312" sId="1">
    <oc r="J103" t="inlineStr">
      <is>
        <t>N/A</t>
      </is>
    </oc>
    <nc r="J103"/>
  </rcc>
  <rcc rId="138313" sId="1">
    <oc r="K103">
      <v>432</v>
    </oc>
    <nc r="K103"/>
  </rcc>
  <rcc rId="138314" sId="1">
    <oc r="L103">
      <v>1</v>
    </oc>
    <nc r="L103"/>
  </rcc>
  <rcc rId="138315" sId="1">
    <oc r="M103" t="inlineStr">
      <is>
        <t>P11A</t>
      </is>
    </oc>
    <nc r="M103"/>
  </rcc>
  <rcc rId="138316" sId="1">
    <oc r="N103">
      <v>15</v>
    </oc>
    <nc r="N103"/>
  </rcc>
  <rcc rId="138317" sId="1">
    <oc r="O103" t="inlineStr">
      <is>
        <t>A</t>
      </is>
    </oc>
    <nc r="O103"/>
  </rcc>
  <rcc rId="138318" sId="1">
    <oc r="B104" t="inlineStr">
      <is>
        <t>AVIANCA</t>
      </is>
    </oc>
    <nc r="B104"/>
  </rcc>
  <rcc rId="138319" sId="1">
    <oc r="C104" t="inlineStr">
      <is>
        <t>AVA 136/137</t>
      </is>
    </oc>
    <nc r="C104"/>
  </rcc>
  <rcc rId="138320" sId="1" numFmtId="23">
    <oc r="D104">
      <v>46158.725694444445</v>
    </oc>
    <nc r="D104"/>
  </rcc>
  <rcc rId="138321" sId="1" numFmtId="23">
    <oc r="E104">
      <v>46158.774305555555</v>
    </oc>
    <nc r="E104"/>
  </rcc>
  <rcc rId="138322" sId="1">
    <oc r="F104" t="inlineStr">
      <is>
        <t>BOG-PUJ-BOG</t>
      </is>
    </oc>
    <nc r="F104"/>
  </rcc>
  <rcc rId="138323" sId="1">
    <oc r="G104" t="inlineStr">
      <is>
        <t>A320</t>
      </is>
    </oc>
    <nc r="G104"/>
  </rcc>
  <rcc rId="138324" sId="1">
    <oc r="H104" t="inlineStr">
      <is>
        <t>AVIANCA</t>
      </is>
    </oc>
    <nc r="H104"/>
  </rcc>
  <rcc rId="138325" sId="1">
    <oc r="I104">
      <v>166</v>
    </oc>
    <nc r="I104"/>
  </rcc>
  <rcc rId="138326" sId="1">
    <oc r="J104" t="inlineStr">
      <is>
        <t>N/A</t>
      </is>
    </oc>
    <nc r="J104"/>
  </rcc>
  <rcc rId="138327" sId="1">
    <oc r="K104">
      <v>169</v>
    </oc>
    <nc r="K104"/>
  </rcc>
  <rcc rId="138328" sId="1">
    <oc r="L104">
      <v>3</v>
    </oc>
    <nc r="L104"/>
  </rcc>
  <rcc rId="138329" sId="1">
    <oc r="M104" t="inlineStr">
      <is>
        <t>P2</t>
      </is>
    </oc>
    <nc r="M104"/>
  </rcc>
  <rcc rId="138330" sId="1">
    <oc r="N104">
      <v>3</v>
    </oc>
    <nc r="N104"/>
  </rcc>
  <rcc rId="138331" sId="1">
    <oc r="O104" t="inlineStr">
      <is>
        <t>A</t>
      </is>
    </oc>
    <nc r="O104"/>
  </rcc>
  <rcc rId="138332" sId="1">
    <oc r="B105" t="inlineStr">
      <is>
        <t>COPA AIRLINES</t>
      </is>
    </oc>
    <nc r="B105"/>
  </rcc>
  <rcc rId="138333" sId="1">
    <oc r="C105" t="inlineStr">
      <is>
        <t>CMP 352/351</t>
      </is>
    </oc>
    <nc r="C105"/>
  </rcc>
  <rcc rId="138334" sId="1" numFmtId="23">
    <oc r="D105">
      <v>46158.731944444444</v>
    </oc>
    <nc r="D105"/>
  </rcc>
  <rcc rId="138335" sId="1" numFmtId="23">
    <oc r="E105">
      <v>46158.774305555555</v>
    </oc>
    <nc r="E105"/>
  </rcc>
  <rcc rId="138336" sId="1">
    <oc r="F105" t="inlineStr">
      <is>
        <t>PTY-PUJ-PTY</t>
      </is>
    </oc>
    <nc r="F105"/>
  </rcc>
  <rcc rId="138337" sId="1">
    <oc r="G105" t="inlineStr">
      <is>
        <t>B738</t>
      </is>
    </oc>
    <nc r="G105"/>
  </rcc>
  <rcc rId="138338" sId="1">
    <oc r="H105" t="inlineStr">
      <is>
        <t>A.A.G.</t>
      </is>
    </oc>
    <nc r="H105"/>
  </rcc>
  <rcc rId="138339" sId="1">
    <oc r="I105">
      <v>169</v>
    </oc>
    <nc r="I105"/>
  </rcc>
  <rcc rId="138340" sId="1">
    <oc r="J105" t="inlineStr">
      <is>
        <t>N/A</t>
      </is>
    </oc>
    <nc r="J105"/>
  </rcc>
  <rcc rId="138341" sId="1">
    <oc r="K105">
      <v>167</v>
    </oc>
    <nc r="K105"/>
  </rcc>
  <rcc rId="138342" sId="1">
    <oc r="L105">
      <v>11</v>
    </oc>
    <nc r="L105"/>
  </rcc>
  <rcc rId="138343" sId="1">
    <oc r="M105" t="inlineStr">
      <is>
        <t>B31</t>
      </is>
    </oc>
    <nc r="M105"/>
  </rcc>
  <rcc rId="138344" sId="1">
    <oc r="N105">
      <v>31</v>
    </oc>
    <nc r="N105"/>
  </rcc>
  <rcc rId="138345" sId="1">
    <oc r="O105" t="inlineStr">
      <is>
        <t>B</t>
      </is>
    </oc>
    <nc r="O105"/>
  </rcc>
  <rcc rId="138346" sId="1">
    <oc r="B106" t="inlineStr">
      <is>
        <t>UNITED AIRLINES</t>
      </is>
    </oc>
    <nc r="B106"/>
  </rcc>
  <rcc rId="138347" sId="1">
    <oc r="C106" t="inlineStr">
      <is>
        <t>UAL 1699/1518</t>
      </is>
    </oc>
    <nc r="C106"/>
  </rcc>
  <rcc rId="138348" sId="1" numFmtId="23">
    <oc r="D106">
      <v>46158.732638888891</v>
    </oc>
    <nc r="D106"/>
  </rcc>
  <rcc rId="138349" sId="1" numFmtId="23">
    <oc r="E106">
      <v>46158.78125</v>
    </oc>
    <nc r="E106"/>
  </rcc>
  <rcc rId="138350" sId="1">
    <oc r="F106" t="inlineStr">
      <is>
        <t>DEN-PUJ-EWR</t>
      </is>
    </oc>
    <nc r="F106"/>
  </rcc>
  <rcc rId="138351" sId="1">
    <oc r="G106" t="inlineStr">
      <is>
        <t>B39M</t>
      </is>
    </oc>
    <nc r="G106"/>
  </rcc>
  <rcc rId="138352" sId="1">
    <oc r="H106" t="inlineStr">
      <is>
        <t>UNITED</t>
      </is>
    </oc>
    <nc r="H106"/>
  </rcc>
  <rcc rId="138353" sId="1">
    <oc r="I106">
      <v>174</v>
    </oc>
    <nc r="I106"/>
  </rcc>
  <rcc rId="138354" sId="1">
    <oc r="J106" t="inlineStr">
      <is>
        <t>N/A</t>
      </is>
    </oc>
    <nc r="J106"/>
  </rcc>
  <rcc rId="138355" sId="1">
    <oc r="K106">
      <v>144</v>
    </oc>
    <nc r="K106"/>
  </rcc>
  <rcc rId="138356" sId="1">
    <oc r="L106">
      <v>14</v>
    </oc>
    <nc r="L106"/>
  </rcc>
  <rcc rId="138357" sId="1">
    <oc r="M106" t="inlineStr">
      <is>
        <t>B28</t>
      </is>
    </oc>
    <nc r="M106"/>
  </rcc>
  <rcc rId="138358" sId="1">
    <oc r="N106">
      <v>28</v>
    </oc>
    <nc r="N106"/>
  </rcc>
  <rcc rId="138359" sId="1">
    <oc r="O106" t="inlineStr">
      <is>
        <t>B</t>
      </is>
    </oc>
    <nc r="O106"/>
  </rcc>
  <rcc rId="138360" sId="1">
    <oc r="B107" t="inlineStr">
      <is>
        <t>LAN PERU</t>
      </is>
    </oc>
    <nc r="B107"/>
  </rcc>
  <rcc rId="138361" sId="1">
    <oc r="C107" t="inlineStr">
      <is>
        <t>LPE 2460/2461</t>
      </is>
    </oc>
    <nc r="C107"/>
  </rcc>
  <rcc rId="138362" sId="1" numFmtId="23">
    <oc r="D107">
      <v>46158.732638888891</v>
    </oc>
    <nc r="D107"/>
  </rcc>
  <rcc rId="138363" sId="1" numFmtId="23">
    <oc r="E107">
      <v>46158.777777777781</v>
    </oc>
    <nc r="E107"/>
  </rcc>
  <rcc rId="138364" sId="1">
    <oc r="F107" t="inlineStr">
      <is>
        <t>LIM-PUJ-LIM</t>
      </is>
    </oc>
    <nc r="F107"/>
  </rcc>
  <rcc rId="138365" sId="1">
    <oc r="G107" t="inlineStr">
      <is>
        <t>A320</t>
      </is>
    </oc>
    <nc r="G107"/>
  </rcc>
  <rcc rId="138366" sId="1">
    <oc r="H107" t="inlineStr">
      <is>
        <t>E.T HEINSEN</t>
      </is>
    </oc>
    <nc r="H107"/>
  </rcc>
  <rcc rId="138367" sId="1">
    <oc r="I107">
      <v>173</v>
    </oc>
    <nc r="I107"/>
  </rcc>
  <rcc rId="138368" sId="1">
    <oc r="J107" t="inlineStr">
      <is>
        <t>N/A</t>
      </is>
    </oc>
    <nc r="J107"/>
  </rcc>
  <rcc rId="138369" sId="1">
    <oc r="K107">
      <v>150</v>
    </oc>
    <nc r="K107"/>
  </rcc>
  <rcc rId="138370" sId="1">
    <oc r="L107">
      <v>6</v>
    </oc>
    <nc r="L107"/>
  </rcc>
  <rcc rId="138371" sId="1">
    <oc r="M107" t="inlineStr">
      <is>
        <t>P6</t>
      </is>
    </oc>
    <nc r="M107"/>
  </rcc>
  <rcc rId="138372" sId="1">
    <oc r="N107">
      <v>11</v>
    </oc>
    <nc r="N107"/>
  </rcc>
  <rcc rId="138373" sId="1">
    <oc r="O107" t="inlineStr">
      <is>
        <t>A</t>
      </is>
    </oc>
    <nc r="O107"/>
  </rcc>
  <rcc rId="138374" sId="1">
    <oc r="B108" t="inlineStr">
      <is>
        <t>ARAJET</t>
      </is>
    </oc>
    <nc r="B108"/>
  </rcc>
  <rcc rId="138375" sId="1">
    <oc r="C108" t="inlineStr">
      <is>
        <t>DWI 7105/858</t>
      </is>
    </oc>
    <nc r="C108"/>
  </rcc>
  <rcc rId="138376" sId="1" numFmtId="23">
    <oc r="D108">
      <v>46158.732638888891</v>
    </oc>
    <nc r="D108"/>
  </rcc>
  <rcc rId="138377" sId="1" numFmtId="23">
    <oc r="E108">
      <v>46158.777777777781</v>
    </oc>
    <nc r="E108"/>
  </rcc>
  <rcc rId="138378" sId="1">
    <oc r="F108" t="inlineStr">
      <is>
        <t>NLU-PUJ-KIN</t>
      </is>
    </oc>
    <nc r="F108"/>
  </rcc>
  <rcc rId="138379" sId="1">
    <oc r="G108" t="inlineStr">
      <is>
        <t>B38M</t>
      </is>
    </oc>
    <nc r="G108"/>
  </rcc>
  <rcc rId="138380" sId="1">
    <oc r="H108" t="inlineStr">
      <is>
        <t>A.A.G.</t>
      </is>
    </oc>
    <nc r="H108"/>
  </rcc>
  <rcc rId="138381" sId="1">
    <oc r="I108">
      <v>179</v>
    </oc>
    <nc r="I108"/>
  </rcc>
  <rcc rId="138382" sId="1">
    <oc r="J108">
      <v>31</v>
    </oc>
    <nc r="J108"/>
  </rcc>
  <rcc rId="138383" sId="1">
    <oc r="K108">
      <v>155</v>
    </oc>
    <nc r="K108"/>
  </rcc>
  <rcc rId="138384" sId="1">
    <oc r="L108">
      <v>13</v>
    </oc>
    <nc r="L108"/>
  </rcc>
  <rcc rId="138385" sId="1">
    <oc r="M108" t="inlineStr">
      <is>
        <t>B25</t>
      </is>
    </oc>
    <nc r="M108"/>
  </rcc>
  <rcc rId="138386" sId="1">
    <oc r="N108">
      <v>25</v>
    </oc>
    <nc r="N108"/>
  </rcc>
  <rcc rId="138387" sId="1">
    <oc r="O108" t="inlineStr">
      <is>
        <t>B</t>
      </is>
    </oc>
    <nc r="O108"/>
  </rcc>
  <rcc rId="138388" sId="1">
    <oc r="B109" t="inlineStr">
      <is>
        <t>ARAJET</t>
      </is>
    </oc>
    <nc r="B109"/>
  </rcc>
  <rcc rId="138389" sId="1">
    <oc r="C109" t="inlineStr">
      <is>
        <t>DWI 5421/6770</t>
      </is>
    </oc>
    <nc r="C109"/>
  </rcc>
  <rcc rId="138390" sId="1" numFmtId="23">
    <oc r="D109">
      <v>46158.747916666667</v>
    </oc>
    <nc r="D109"/>
  </rcc>
  <rcc rId="138391" sId="1" numFmtId="23">
    <oc r="E109">
      <v>46158.816666666666</v>
    </oc>
    <nc r="E109"/>
  </rcc>
  <rcc rId="138392" sId="1">
    <oc r="F109" t="inlineStr">
      <is>
        <t>ORD-PUJ-LIM</t>
      </is>
    </oc>
    <nc r="F109"/>
  </rcc>
  <rcc rId="138393" sId="1">
    <oc r="G109" t="inlineStr">
      <is>
        <t>B38M</t>
      </is>
    </oc>
    <nc r="G109"/>
  </rcc>
  <rcc rId="138394" sId="1">
    <oc r="H109" t="inlineStr">
      <is>
        <t>A.A.G.</t>
      </is>
    </oc>
    <nc r="H109"/>
  </rcc>
  <rcc rId="138395" sId="1">
    <oc r="I109">
      <v>122</v>
    </oc>
    <nc r="I109"/>
  </rcc>
  <rcc rId="138396" sId="1">
    <oc r="J109">
      <v>11</v>
    </oc>
    <nc r="J109"/>
  </rcc>
  <rcc rId="138397" sId="1">
    <oc r="K109">
      <v>187</v>
    </oc>
    <nc r="K109"/>
  </rcc>
  <rcc rId="138398" sId="1">
    <oc r="L109">
      <v>12</v>
    </oc>
    <nc r="L109"/>
  </rcc>
  <rcc rId="138399" sId="1">
    <oc r="M109" t="inlineStr">
      <is>
        <t>B20</t>
      </is>
    </oc>
    <nc r="M109"/>
  </rcc>
  <rcc rId="138400" sId="1">
    <oc r="N109">
      <v>20</v>
    </oc>
    <nc r="N109"/>
  </rcc>
  <rcc rId="138401" sId="1">
    <oc r="O109" t="inlineStr">
      <is>
        <t>B</t>
      </is>
    </oc>
    <nc r="O109"/>
  </rcc>
  <rcc rId="138402" sId="1">
    <oc r="B110" t="inlineStr">
      <is>
        <t>ARAJET</t>
      </is>
    </oc>
    <nc r="B110"/>
  </rcc>
  <rcc rId="138403" sId="1">
    <oc r="C110" t="inlineStr">
      <is>
        <t>DWI 6265/6260</t>
      </is>
    </oc>
    <nc r="C110"/>
  </rcc>
  <rcc rId="138404" sId="1" numFmtId="23">
    <oc r="D110">
      <v>46158.756944444445</v>
    </oc>
    <nc r="D110"/>
  </rcc>
  <rcc rId="138405" sId="1" numFmtId="23">
    <oc r="E110">
      <v>46158.798611111109</v>
    </oc>
    <nc r="E110"/>
  </rcc>
  <rcc rId="138406" sId="1">
    <oc r="F110" t="inlineStr">
      <is>
        <t>EZE-PUJ-EZE</t>
      </is>
    </oc>
    <nc r="F110"/>
  </rcc>
  <rcc rId="138407" sId="1">
    <oc r="G110" t="inlineStr">
      <is>
        <t>B38M</t>
      </is>
    </oc>
    <nc r="G110"/>
  </rcc>
  <rcc rId="138408" sId="1">
    <oc r="H110" t="inlineStr">
      <is>
        <t>A.A.G.</t>
      </is>
    </oc>
    <nc r="H110"/>
  </rcc>
  <rcc rId="138409" sId="1">
    <oc r="I110">
      <v>136</v>
    </oc>
    <nc r="I110"/>
  </rcc>
  <rcc rId="138410" sId="1">
    <oc r="J110">
      <v>13</v>
    </oc>
    <nc r="J110"/>
  </rcc>
  <rcc rId="138411" sId="1">
    <oc r="K110">
      <v>151</v>
    </oc>
    <nc r="K110"/>
  </rcc>
  <rcc rId="138412" sId="1">
    <oc r="L110">
      <v>12</v>
    </oc>
    <nc r="L110"/>
  </rcc>
  <rcc rId="138413" sId="1">
    <oc r="M110" t="inlineStr">
      <is>
        <t>B26A</t>
      </is>
    </oc>
    <nc r="M110"/>
  </rcc>
  <rcc rId="138414" sId="1">
    <oc r="N110">
      <v>26</v>
    </oc>
    <nc r="N110"/>
  </rcc>
  <rcc rId="138415" sId="1">
    <oc r="O110" t="inlineStr">
      <is>
        <t>B</t>
      </is>
    </oc>
    <nc r="O110"/>
  </rcc>
  <rcc rId="138416" sId="1">
    <oc r="B111" t="inlineStr">
      <is>
        <t>CONDOR</t>
      </is>
    </oc>
    <nc r="B111"/>
  </rcc>
  <rcc rId="138417" sId="1">
    <oc r="C111" t="inlineStr">
      <is>
        <t>CFG 2228/2229</t>
      </is>
    </oc>
    <nc r="C111"/>
  </rcc>
  <rcc rId="138418" sId="1" numFmtId="23">
    <oc r="D111">
      <v>46158.767361111109</v>
    </oc>
    <nc r="D111"/>
  </rcc>
  <rcc rId="138419" sId="1" numFmtId="23">
    <oc r="E111">
      <v>46158.84375</v>
    </oc>
    <nc r="E111"/>
  </rcc>
  <rcc rId="138420" sId="1">
    <oc r="F111" t="inlineStr">
      <is>
        <t>FRA-PUJ-FRA</t>
      </is>
    </oc>
    <nc r="F111"/>
  </rcc>
  <rcc rId="138421" sId="1">
    <oc r="G111" t="inlineStr">
      <is>
        <t>A330</t>
      </is>
    </oc>
    <nc r="G111"/>
  </rcc>
  <rcc rId="138422" sId="1">
    <oc r="H111" t="inlineStr">
      <is>
        <t>E.T HEINSEN</t>
      </is>
    </oc>
    <nc r="H111"/>
  </rcc>
  <rcc rId="138423" sId="1">
    <oc r="I111">
      <v>301</v>
    </oc>
    <nc r="I111"/>
  </rcc>
  <rcc rId="138424" sId="1">
    <oc r="J111" t="inlineStr">
      <is>
        <t>N/A</t>
      </is>
    </oc>
    <nc r="J111"/>
  </rcc>
  <rcc rId="138425" sId="1">
    <oc r="K111">
      <v>303</v>
    </oc>
    <nc r="K111"/>
  </rcc>
  <rcc rId="138426" sId="1">
    <oc r="L111">
      <v>1</v>
    </oc>
    <nc r="L111"/>
  </rcc>
  <rcc rId="138427" sId="1">
    <oc r="M111" t="inlineStr">
      <is>
        <t>P9A</t>
      </is>
    </oc>
    <nc r="M111"/>
  </rcc>
  <rcc rId="138428" sId="1">
    <oc r="N111">
      <v>13</v>
    </oc>
    <nc r="N111"/>
  </rcc>
  <rcc rId="138429" sId="1">
    <oc r="O111" t="inlineStr">
      <is>
        <t>A</t>
      </is>
    </oc>
    <nc r="O111"/>
  </rcc>
  <rcc rId="138430" sId="1">
    <oc r="B112" t="inlineStr">
      <is>
        <t>LAN PERU</t>
      </is>
    </oc>
    <nc r="B112"/>
  </rcc>
  <rcc rId="138431" sId="1">
    <oc r="C112" t="inlineStr">
      <is>
        <t>LPE 2450/2451</t>
      </is>
    </oc>
    <nc r="C112"/>
  </rcc>
  <rcc rId="138432" sId="1" numFmtId="23">
    <oc r="D112">
      <v>46158.770833333336</v>
    </oc>
    <nc r="D112"/>
  </rcc>
  <rcc rId="138433" sId="1" numFmtId="23">
    <oc r="E112">
      <v>46158.815972222219</v>
    </oc>
    <nc r="E112"/>
  </rcc>
  <rcc rId="138434" sId="1">
    <oc r="F112" t="inlineStr">
      <is>
        <t>LIM-PUJ-LIM</t>
      </is>
    </oc>
    <nc r="F112"/>
  </rcc>
  <rcc rId="138435" sId="1">
    <oc r="G112" t="inlineStr">
      <is>
        <t>A320</t>
      </is>
    </oc>
    <nc r="G112"/>
  </rcc>
  <rcc rId="138436" sId="1">
    <oc r="H112" t="inlineStr">
      <is>
        <t>E.T HEINSEN</t>
      </is>
    </oc>
    <nc r="H112"/>
  </rcc>
  <rcc rId="138437" sId="1">
    <oc r="I112">
      <v>142</v>
    </oc>
    <nc r="I112"/>
  </rcc>
  <rcc rId="138438" sId="1">
    <oc r="J112" t="inlineStr">
      <is>
        <t>N/A</t>
      </is>
    </oc>
    <nc r="J112"/>
  </rcc>
  <rcc rId="138439" sId="1">
    <oc r="K112">
      <v>103</v>
    </oc>
    <nc r="K112"/>
  </rcc>
  <rcc rId="138440" sId="1">
    <oc r="L112">
      <v>3</v>
    </oc>
    <nc r="L112"/>
  </rcc>
  <rcc rId="138441" sId="1">
    <oc r="M112" t="inlineStr">
      <is>
        <t>P4</t>
      </is>
    </oc>
    <nc r="M112"/>
  </rcc>
  <rcc rId="138442" sId="1">
    <oc r="N112">
      <v>9</v>
    </oc>
    <nc r="N112"/>
  </rcc>
  <rcc rId="138443" sId="1">
    <oc r="O112" t="inlineStr">
      <is>
        <t>A</t>
      </is>
    </oc>
    <nc r="O112"/>
  </rcc>
  <rcc rId="138444" sId="1">
    <oc r="B113" t="inlineStr">
      <is>
        <t>WESTJET AIRLINES</t>
      </is>
    </oc>
    <nc r="B113"/>
  </rcc>
  <rcc rId="138445" sId="1">
    <oc r="C113" t="inlineStr">
      <is>
        <t>WJA 2728/2729</t>
      </is>
    </oc>
    <nc r="C113"/>
  </rcc>
  <rcc rId="138446" sId="1" numFmtId="23">
    <oc r="D113">
      <v>46158.774305555555</v>
    </oc>
    <nc r="D113"/>
  </rcc>
  <rcc rId="138447" sId="1" numFmtId="23">
    <oc r="E113">
      <v>46158.8125</v>
    </oc>
    <nc r="E113"/>
  </rcc>
  <rcc rId="138448" sId="1">
    <oc r="F113" t="inlineStr">
      <is>
        <t>YYZ-PUJ-YYZ</t>
      </is>
    </oc>
    <nc r="F113"/>
  </rcc>
  <rcc rId="138449" sId="1">
    <oc r="G113" t="inlineStr">
      <is>
        <t>B38M</t>
      </is>
    </oc>
    <nc r="G113"/>
  </rcc>
  <rcc rId="138450" sId="1">
    <oc r="H113" t="inlineStr">
      <is>
        <t>SERVAIR</t>
      </is>
    </oc>
    <nc r="H113"/>
  </rcc>
  <rcc rId="138451" sId="1">
    <oc r="I113">
      <v>28</v>
    </oc>
    <nc r="I113"/>
  </rcc>
  <rcc rId="138452" sId="1">
    <oc r="J113" t="inlineStr">
      <is>
        <t>N/A</t>
      </is>
    </oc>
    <nc r="J113"/>
  </rcc>
  <rcc rId="138453" sId="1">
    <oc r="K113">
      <v>164</v>
    </oc>
    <nc r="K113"/>
  </rcc>
  <rcc rId="138454" sId="1">
    <oc r="L113">
      <v>2</v>
    </oc>
    <nc r="L113"/>
  </rcc>
  <rcc rId="138455" sId="1">
    <oc r="M113" t="inlineStr">
      <is>
        <t>P8A</t>
      </is>
    </oc>
    <nc r="M113"/>
  </rcc>
  <rcc rId="138456" sId="1">
    <oc r="N113">
      <v>8</v>
    </oc>
    <nc r="N113"/>
  </rcc>
  <rcc rId="138457" sId="1">
    <oc r="O113" t="inlineStr">
      <is>
        <t>A</t>
      </is>
    </oc>
    <nc r="O113"/>
  </rcc>
  <rcc rId="138458" sId="1">
    <oc r="B114" t="inlineStr">
      <is>
        <t>IBEROJET ESPAÑA</t>
      </is>
    </oc>
    <nc r="B114"/>
  </rcc>
  <rcc rId="138459" sId="1">
    <oc r="C114" t="inlineStr">
      <is>
        <t>EVE 801/802</t>
      </is>
    </oc>
    <nc r="C114"/>
  </rcc>
  <rcc rId="138460" sId="1" numFmtId="23">
    <oc r="D114">
      <v>46158.78125</v>
    </oc>
    <nc r="D114"/>
  </rcc>
  <rcc rId="138461" sId="1" numFmtId="23">
    <oc r="E114">
      <v>46158.875</v>
    </oc>
    <nc r="E114"/>
  </rcc>
  <rcc rId="138462" sId="1">
    <oc r="F114" t="inlineStr">
      <is>
        <t>MAD-PUJ-MAD</t>
      </is>
    </oc>
    <nc r="F114"/>
  </rcc>
  <rcc rId="138463" sId="1">
    <oc r="G114" t="inlineStr">
      <is>
        <t>A333</t>
      </is>
    </oc>
    <nc r="G114"/>
  </rcc>
  <rcc rId="138464" sId="1">
    <oc r="H114" t="inlineStr">
      <is>
        <t>CARIPORTS</t>
      </is>
    </oc>
    <nc r="H114"/>
  </rcc>
  <rcc rId="138465" sId="1">
    <oc r="I114">
      <v>381</v>
    </oc>
    <nc r="I114"/>
  </rcc>
  <rcc rId="138466" sId="1">
    <oc r="J114" t="inlineStr">
      <is>
        <t>N/A</t>
      </is>
    </oc>
    <nc r="J114"/>
  </rcc>
  <rcc rId="138467" sId="1">
    <oc r="K114">
      <v>376</v>
    </oc>
    <nc r="K114"/>
  </rcc>
  <rcc rId="138468" sId="1">
    <oc r="L114">
      <v>5</v>
    </oc>
    <nc r="L114"/>
  </rcc>
  <rcc rId="138469" sId="1">
    <oc r="M114" t="inlineStr">
      <is>
        <t>P7</t>
      </is>
    </oc>
    <nc r="M114"/>
  </rcc>
  <rcc rId="138470" sId="1">
    <oc r="N114">
      <v>6</v>
    </oc>
    <nc r="N114"/>
  </rcc>
  <rcc rId="138471" sId="1">
    <oc r="O114" t="inlineStr">
      <is>
        <t>A</t>
      </is>
    </oc>
    <nc r="O114"/>
  </rcc>
  <rcc rId="138472" sId="1">
    <oc r="B115" t="inlineStr">
      <is>
        <t>WESTJET AIRLINES</t>
      </is>
    </oc>
    <nc r="B115"/>
  </rcc>
  <rcc rId="138473" sId="1">
    <oc r="C115" t="inlineStr">
      <is>
        <t>WJA 2704/2705</t>
      </is>
    </oc>
    <nc r="C115"/>
  </rcc>
  <rcc rId="138474" sId="1" numFmtId="23">
    <oc r="D115">
      <v>46158.809027777781</v>
    </oc>
    <nc r="D115"/>
  </rcc>
  <rcc rId="138475" sId="1" numFmtId="23">
    <oc r="E115">
      <v>46158.847222222219</v>
    </oc>
    <nc r="E115"/>
  </rcc>
  <rcc rId="138476" sId="1">
    <oc r="F115" t="inlineStr">
      <is>
        <t>YYZ-PUJ-YYZ</t>
      </is>
    </oc>
    <nc r="F115"/>
  </rcc>
  <rcc rId="138477" sId="1">
    <oc r="G115" t="inlineStr">
      <is>
        <t>B38M</t>
      </is>
    </oc>
    <nc r="G115"/>
  </rcc>
  <rcc rId="138478" sId="1">
    <oc r="H115" t="inlineStr">
      <is>
        <t>SERVAIR</t>
      </is>
    </oc>
    <nc r="H115"/>
  </rcc>
  <rcc rId="138479" sId="1">
    <oc r="I115">
      <v>174</v>
    </oc>
    <nc r="I115"/>
  </rcc>
  <rcc rId="138480" sId="1">
    <oc r="J115" t="inlineStr">
      <is>
        <t>N/A</t>
      </is>
    </oc>
    <nc r="J115"/>
  </rcc>
  <rcc rId="138481" sId="1">
    <oc r="K115">
      <v>165</v>
    </oc>
    <nc r="K115"/>
  </rcc>
  <rcc rId="138482" sId="1">
    <oc r="L115">
      <v>6</v>
    </oc>
    <nc r="L115"/>
  </rcc>
  <rcc rId="138483" sId="1">
    <oc r="M115" t="inlineStr">
      <is>
        <t>P6</t>
      </is>
    </oc>
    <nc r="M115"/>
  </rcc>
  <rcc rId="138484" sId="1">
    <oc r="N115">
      <v>1</v>
    </oc>
    <nc r="N115"/>
  </rcc>
  <rcc rId="138485" sId="1">
    <oc r="O115" t="inlineStr">
      <is>
        <t>A</t>
      </is>
    </oc>
    <nc r="O115"/>
  </rcc>
  <rcc rId="138486" sId="1">
    <oc r="B116" t="inlineStr">
      <is>
        <t>FRONTIER AIRLINES</t>
      </is>
    </oc>
    <nc r="B116"/>
  </rcc>
  <rcc rId="138487" sId="1">
    <oc r="C116" t="inlineStr">
      <is>
        <t>FFT 241/240</t>
      </is>
    </oc>
    <nc r="C116"/>
  </rcc>
  <rcc rId="138488" sId="1" numFmtId="23">
    <oc r="D116">
      <v>46158.84652777778</v>
    </oc>
    <nc r="D116"/>
  </rcc>
  <rcc rId="138489" sId="1" numFmtId="23">
    <oc r="E116">
      <v>46158.895138888889</v>
    </oc>
    <nc r="E116"/>
  </rcc>
  <rcc rId="138490" sId="1">
    <oc r="F116" t="inlineStr">
      <is>
        <t>SJU-PUJ-SJU</t>
      </is>
    </oc>
    <nc r="F116"/>
  </rcc>
  <rcc rId="138491" sId="1">
    <oc r="G116" t="inlineStr">
      <is>
        <t>A321</t>
      </is>
    </oc>
    <nc r="G116"/>
  </rcc>
  <rcc rId="138492" sId="1">
    <oc r="H116" t="inlineStr">
      <is>
        <t>CARIPORTS</t>
      </is>
    </oc>
    <nc r="H116"/>
  </rcc>
  <rcc rId="138493" sId="1">
    <oc r="I116">
      <v>40</v>
    </oc>
    <nc r="I116"/>
  </rcc>
  <rcc rId="138494" sId="1">
    <oc r="J116" t="inlineStr">
      <is>
        <t>N/A</t>
      </is>
    </oc>
    <nc r="J116"/>
  </rcc>
  <rcc rId="138495" sId="1">
    <oc r="K116">
      <v>65</v>
    </oc>
    <nc r="K116"/>
  </rcc>
  <rcc rId="138496" sId="1">
    <oc r="L116">
      <v>3</v>
    </oc>
    <nc r="L116"/>
  </rcc>
  <rcc rId="138497" sId="1">
    <oc r="M116" t="inlineStr">
      <is>
        <t>P8A</t>
      </is>
    </oc>
    <nc r="M116"/>
  </rcc>
  <rcc rId="138498" sId="1">
    <oc r="N116">
      <v>8</v>
    </oc>
    <nc r="N116"/>
  </rcc>
  <rcc rId="138499" sId="1">
    <oc r="O116" t="inlineStr">
      <is>
        <t>A</t>
      </is>
    </oc>
    <nc r="O116"/>
  </rcc>
  <rcc rId="138500" sId="1">
    <oc r="B117" t="inlineStr">
      <is>
        <t>ARAJET</t>
      </is>
    </oc>
    <nc r="B117"/>
  </rcc>
  <rcc rId="138501" sId="1">
    <oc r="C117" t="inlineStr">
      <is>
        <t>DWI 859/7104</t>
      </is>
    </oc>
    <nc r="C117"/>
  </rcc>
  <rcc rId="138502" sId="1" numFmtId="23">
    <oc r="D117">
      <v>46158.964583333334</v>
    </oc>
    <nc r="D117"/>
  </rcc>
  <rcc rId="138503" sId="1">
    <oc r="E117" t="inlineStr">
      <is>
        <t>OVER</t>
      </is>
    </oc>
    <nc r="E117"/>
  </rcc>
  <rcc rId="138504" sId="1">
    <oc r="F117" t="inlineStr">
      <is>
        <t>KIN-PUJ</t>
      </is>
    </oc>
    <nc r="F117"/>
  </rcc>
  <rcc rId="138505" sId="1">
    <oc r="G117" t="inlineStr">
      <is>
        <t>B38M</t>
      </is>
    </oc>
    <nc r="G117"/>
  </rcc>
  <rcc rId="138506" sId="1">
    <oc r="H117" t="inlineStr">
      <is>
        <t>A.A.G.</t>
      </is>
    </oc>
    <nc r="H117"/>
  </rcc>
  <rcc rId="138507" sId="1">
    <oc r="I117">
      <v>155</v>
    </oc>
    <nc r="I117"/>
  </rcc>
  <rcc rId="138508" sId="1">
    <oc r="J117">
      <v>5</v>
    </oc>
    <nc r="J117"/>
  </rcc>
  <rcc rId="138509" sId="1">
    <oc r="K117">
      <v>165</v>
    </oc>
    <nc r="K117"/>
  </rcc>
  <rcc rId="138510" sId="1">
    <oc r="L117">
      <v>11</v>
    </oc>
    <nc r="L117"/>
  </rcc>
  <rcc rId="138511" sId="1">
    <oc r="M117" t="inlineStr">
      <is>
        <t>B20</t>
      </is>
    </oc>
    <nc r="M117"/>
  </rcc>
  <rcc rId="138512" sId="1">
    <oc r="N117">
      <v>20</v>
    </oc>
    <nc r="N117"/>
  </rcc>
  <rcc rId="138513" sId="1">
    <oc r="O117" t="inlineStr">
      <is>
        <t>B</t>
      </is>
    </oc>
    <nc r="O117"/>
  </rcc>
  <rcc rId="138514" sId="1">
    <oc r="B3" t="inlineStr">
      <is>
        <t>AMERICAN AIRLINES</t>
      </is>
    </oc>
    <nc r="B3" t="inlineStr">
      <is>
        <t>ARAJET</t>
      </is>
    </nc>
  </rcc>
  <rcc rId="138515" sId="1" numFmtId="23">
    <oc r="E3">
      <v>46158.5</v>
    </oc>
    <nc r="E3">
      <v>46167.5</v>
    </nc>
  </rcc>
  <rcc rId="138516" sId="1">
    <oc r="F3" t="inlineStr">
      <is>
        <t>PUJ-MIA</t>
      </is>
    </oc>
    <nc r="F3" t="inlineStr">
      <is>
        <t>LRM-PUJ-TBC</t>
      </is>
    </nc>
  </rcc>
  <rcc rId="138517" sId="1">
    <oc r="B4" t="inlineStr">
      <is>
        <t>ARAJET</t>
      </is>
    </oc>
    <nc r="B4" t="inlineStr">
      <is>
        <t xml:space="preserve">UNIWORLD AIR CARGO </t>
      </is>
    </nc>
  </rcc>
  <rcc rId="138518" sId="1" numFmtId="23">
    <oc r="E4">
      <v>46158.293055555558</v>
    </oc>
    <nc r="E4">
      <v>46164.9375</v>
    </nc>
  </rcc>
  <rcc rId="138519" sId="1">
    <oc r="F4" t="inlineStr">
      <is>
        <t>PUJ-ORD</t>
      </is>
    </oc>
    <nc r="F4" t="inlineStr">
      <is>
        <t>BOG-PUJ-MAR</t>
      </is>
    </nc>
  </rcc>
  <rcc rId="138520" sId="1" numFmtId="23">
    <oc r="E5">
      <v>46158.295138888891</v>
    </oc>
    <nc r="E5">
      <v>46164.46875</v>
    </nc>
  </rcc>
  <rcc rId="138521" sId="1">
    <oc r="F5" t="inlineStr">
      <is>
        <t>PUJ-NLU</t>
      </is>
    </oc>
    <nc r="F5" t="inlineStr">
      <is>
        <t>EZE-PUJ-EZE</t>
      </is>
    </nc>
  </rcc>
  <rcc rId="138522" sId="1">
    <oc r="B6" t="inlineStr">
      <is>
        <t>ARAJET</t>
      </is>
    </oc>
    <nc r="B6" t="inlineStr">
      <is>
        <t>AIR CANADA CARGO</t>
      </is>
    </nc>
  </rcc>
  <rcc rId="138523" sId="1">
    <oc r="C6" t="inlineStr">
      <is>
        <t>DWI 7006</t>
      </is>
    </oc>
    <nc r="C6" t="inlineStr">
      <is>
        <t>ACAC 7257/7257</t>
      </is>
    </nc>
  </rcc>
  <rcc rId="138524" sId="1" numFmtId="23">
    <oc r="D6" t="inlineStr">
      <is>
        <t>OVER</t>
      </is>
    </oc>
    <nc r="D6">
      <v>46164.003472222219</v>
    </nc>
  </rcc>
  <rcc rId="138525" sId="1" numFmtId="23">
    <oc r="E6">
      <v>46158.387499999997</v>
    </oc>
    <nc r="E6">
      <v>46164.065972222219</v>
    </nc>
  </rcc>
  <rcc rId="138526" sId="1">
    <oc r="F6" t="inlineStr">
      <is>
        <t>PUJ-CUN</t>
      </is>
    </oc>
    <nc r="F6" t="inlineStr">
      <is>
        <t>UIO-PUJ-YYZ</t>
      </is>
    </nc>
  </rcc>
  <rcc rId="138527" sId="1">
    <oc r="B7" t="inlineStr">
      <is>
        <t>ARAJET</t>
      </is>
    </oc>
    <nc r="B7" t="inlineStr">
      <is>
        <t>JETBLUE AIRWAYS</t>
      </is>
    </nc>
  </rcc>
  <rcc rId="138528" sId="1">
    <oc r="C7" t="inlineStr">
      <is>
        <t>DWI 6264</t>
      </is>
    </oc>
    <nc r="C7" t="inlineStr">
      <is>
        <t>JBU 1473/1474</t>
      </is>
    </nc>
  </rcc>
  <rcc rId="138529" sId="1" numFmtId="23">
    <oc r="D7" t="inlineStr">
      <is>
        <t>OVER</t>
      </is>
    </oc>
    <nc r="D7">
      <v>46164.387499999997</v>
    </nc>
  </rcc>
  <rcc rId="138530" sId="1" numFmtId="23">
    <oc r="E7">
      <v>46158.011111111111</v>
    </oc>
    <nc r="E7">
      <v>46164.429166666669</v>
    </nc>
  </rcc>
  <rcc rId="138531" sId="1">
    <oc r="F7" t="inlineStr">
      <is>
        <t>PUJ-EZE</t>
      </is>
    </oc>
    <nc r="F7" t="inlineStr">
      <is>
        <t>FLL-PUJ-FLL</t>
      </is>
    </nc>
  </rcc>
  <rcc rId="138532" sId="1">
    <oc r="C8" t="inlineStr">
      <is>
        <t>DWI 1134/5802</t>
      </is>
    </oc>
    <nc r="C8" t="inlineStr">
      <is>
        <t>DWI 6771/1732</t>
      </is>
    </nc>
  </rcc>
  <rcc rId="138533" sId="1" numFmtId="23">
    <oc r="D8">
      <v>46158.056944444441</v>
    </oc>
    <nc r="D8">
      <v>46164.388194444444</v>
    </nc>
  </rcc>
  <rcc rId="138534" sId="1" numFmtId="23">
    <oc r="E8">
      <v>46158.298611111109</v>
    </oc>
    <nc r="E8">
      <v>46164.586111111108</v>
    </nc>
  </rcc>
  <rcc rId="138535" sId="1">
    <oc r="F8" t="inlineStr">
      <is>
        <t>SDQ-PUJ-YYZ</t>
      </is>
    </oc>
    <nc r="F8" t="inlineStr">
      <is>
        <t>LIM-PUJ-MDE</t>
      </is>
    </nc>
  </rcc>
  <rcc rId="138536" sId="1">
    <oc r="B9" t="inlineStr">
      <is>
        <t>COPA AIRLINES</t>
      </is>
    </oc>
    <nc r="B9" t="inlineStr">
      <is>
        <t>JETBLUE AIRWAYS</t>
      </is>
    </nc>
  </rcc>
  <rcc rId="138537" sId="1">
    <oc r="C9" t="inlineStr">
      <is>
        <t>CMP 728/729</t>
      </is>
    </oc>
    <nc r="C9" t="inlineStr">
      <is>
        <t>JBU 563/564</t>
      </is>
    </nc>
  </rcc>
  <rcc rId="138538" sId="1" numFmtId="23">
    <oc r="D9">
      <v>46158.086805555555</v>
    </oc>
    <nc r="D9">
      <v>46164.392361111109</v>
    </nc>
  </rcc>
  <rcc rId="138539" sId="1" numFmtId="23">
    <oc r="E9">
      <v>46158.232638888891</v>
    </oc>
    <nc r="E9">
      <v>46164.434027777781</v>
    </nc>
  </rcc>
  <rcc rId="138540" sId="1">
    <oc r="F9" t="inlineStr">
      <is>
        <t>PTY-PUJ-PTY</t>
      </is>
    </oc>
    <nc r="F9" t="inlineStr">
      <is>
        <t>TPA-PUJ-TPA</t>
      </is>
    </nc>
  </rcc>
  <rcc rId="138541" sId="1">
    <oc r="B10" t="inlineStr">
      <is>
        <t>ARAJET</t>
      </is>
    </oc>
    <nc r="B10" t="inlineStr">
      <is>
        <t>JETBLUE AIRWAYS</t>
      </is>
    </nc>
  </rcc>
  <rcc rId="138542" sId="1">
    <oc r="C10" t="inlineStr">
      <is>
        <t>DWI 6201/1081</t>
      </is>
    </oc>
    <nc r="C10" t="inlineStr">
      <is>
        <t>JBU 869/268</t>
      </is>
    </nc>
  </rcc>
  <rcc rId="138543" sId="1" numFmtId="23">
    <oc r="D10">
      <v>46158.138888888891</v>
    </oc>
    <nc r="D10">
      <v>46164.410416666666</v>
    </nc>
  </rcc>
  <rcc rId="138544" sId="1" numFmtId="23">
    <oc r="E10">
      <v>46159.5</v>
    </oc>
    <nc r="E10">
      <v>46164.47152777778</v>
    </nc>
  </rcc>
  <rcc rId="138545" sId="1">
    <oc r="F10" t="inlineStr">
      <is>
        <t>EZE-PUJ-SDQ</t>
      </is>
    </oc>
    <nc r="F10" t="inlineStr">
      <is>
        <t>JFK-PUJ-JFK</t>
      </is>
    </nc>
  </rcc>
  <rcc rId="138546" sId="1">
    <oc r="C11" t="inlineStr">
      <is>
        <t>DWI 6021/5104</t>
      </is>
    </oc>
    <nc r="C11" t="inlineStr">
      <is>
        <t>DWI 6087/5100</t>
      </is>
    </nc>
  </rcc>
  <rcc rId="138547" sId="1" numFmtId="23">
    <oc r="D11">
      <v>46158.25</v>
    </oc>
    <nc r="D11">
      <v>46164.413194444445</v>
    </nc>
  </rcc>
  <rcc rId="138548" sId="1" numFmtId="23">
    <oc r="E11">
      <v>46158.401388888888</v>
    </oc>
    <nc r="E11">
      <v>46164.542361111111</v>
    </nc>
  </rcc>
  <rcc rId="138549" sId="1">
    <oc r="B12" t="inlineStr">
      <is>
        <t>AEROLINEAS ARGENTINAS</t>
      </is>
    </oc>
    <nc r="B12" t="inlineStr">
      <is>
        <t>FRONTIER AIRLINES</t>
      </is>
    </nc>
  </rcc>
  <rcc rId="138550" sId="1">
    <oc r="C12" t="inlineStr">
      <is>
        <t>ARG 1324/1325</t>
      </is>
    </oc>
    <nc r="C12" t="inlineStr">
      <is>
        <t>FFT 66/67</t>
      </is>
    </nc>
  </rcc>
  <rcc rId="138551" sId="1" numFmtId="23">
    <oc r="D12">
      <v>46158.25</v>
    </oc>
    <nc r="D12">
      <v>46164.440972222219</v>
    </nc>
  </rcc>
  <rcc rId="138552" sId="1" numFmtId="23">
    <oc r="E12">
      <v>46158.333333333336</v>
    </oc>
    <nc r="E12">
      <v>46164.489583333336</v>
    </nc>
  </rcc>
  <rcc rId="138553" sId="1">
    <oc r="F12" t="inlineStr">
      <is>
        <t>EZE-PUJ-EZE</t>
      </is>
    </oc>
    <nc r="F12" t="inlineStr">
      <is>
        <t>MIA-PUJ-MIA</t>
      </is>
    </nc>
  </rcc>
  <rcc rId="138554" sId="1">
    <oc r="B13" t="inlineStr">
      <is>
        <t>ARAJET</t>
      </is>
    </oc>
    <nc r="B13" t="inlineStr">
      <is>
        <t>FRONTIER AIRLINES</t>
      </is>
    </nc>
  </rcc>
  <rcc rId="138555" sId="1">
    <oc r="C13" t="inlineStr">
      <is>
        <t>DWI 6775/6262</t>
      </is>
    </oc>
    <nc r="C13" t="inlineStr">
      <is>
        <t>FFT 239/7</t>
      </is>
    </nc>
  </rcc>
  <rcc rId="138556" sId="1" numFmtId="23">
    <oc r="D13">
      <v>46158.337500000001</v>
    </oc>
    <nc r="D13">
      <v>46164.440972222219</v>
    </nc>
  </rcc>
  <rcc rId="138557" sId="1" numFmtId="23">
    <oc r="E13">
      <v>46158.444444444445</v>
    </oc>
    <nc r="E13">
      <v>46164.493055555555</v>
    </nc>
  </rcc>
  <rcc rId="138558" sId="1">
    <oc r="F13" t="inlineStr">
      <is>
        <t>LIM-PUJ-EZE</t>
      </is>
    </oc>
    <nc r="F13" t="inlineStr">
      <is>
        <t>SJU-PUJ-STL</t>
      </is>
    </nc>
  </rcc>
  <rcc rId="138559" sId="1">
    <oc r="B14" t="inlineStr">
      <is>
        <t xml:space="preserve">UNIWORLD AIR CARGO </t>
      </is>
    </oc>
    <nc r="B14" t="inlineStr">
      <is>
        <t>JETBLUE AIRWAYS</t>
      </is>
    </nc>
  </rcc>
  <rcc rId="138560" sId="1">
    <oc r="C14" t="inlineStr">
      <is>
        <t>UCG 253/194</t>
      </is>
    </oc>
    <nc r="C14" t="inlineStr">
      <is>
        <t>JBU 2895/2896</t>
      </is>
    </nc>
  </rcc>
  <rcc rId="138561" sId="1" numFmtId="23">
    <oc r="D14">
      <v>46158.347222222219</v>
    </oc>
    <nc r="D14">
      <v>46164.443055555559</v>
    </nc>
  </rcc>
  <rcc rId="138562" sId="1" numFmtId="23">
    <oc r="E14">
      <v>46159.083333333336</v>
    </oc>
    <nc r="E14">
      <v>46164.484722222223</v>
    </nc>
  </rcc>
  <rcc rId="138563" sId="1">
    <oc r="F14" t="inlineStr">
      <is>
        <t>BOG-PUJ-CCS</t>
      </is>
    </oc>
    <nc r="F14" t="inlineStr">
      <is>
        <t>BOS-PUJ-BOS</t>
      </is>
    </nc>
  </rcc>
  <rcc rId="138564" sId="1">
    <oc r="B15" t="inlineStr">
      <is>
        <t>FRONTIER AIRLINES</t>
      </is>
    </oc>
    <nc r="B15" t="inlineStr">
      <is>
        <t>COPA AIRLINES</t>
      </is>
    </nc>
  </rcc>
  <rcc rId="138565" sId="1">
    <oc r="C15" t="inlineStr">
      <is>
        <t>FFT 20/21</t>
      </is>
    </oc>
    <nc r="C15" t="inlineStr">
      <is>
        <t>CMP 177/178</t>
      </is>
    </nc>
  </rcc>
  <rcc rId="138566" sId="1" numFmtId="23">
    <oc r="D15">
      <v>46158.387499999997</v>
    </oc>
    <nc r="D15">
      <v>46164.443749999999</v>
    </nc>
  </rcc>
  <rcc rId="138567" sId="1" numFmtId="23">
    <oc r="E15">
      <v>46158.439583333333</v>
    </oc>
    <nc r="E15">
      <v>46164.488888888889</v>
    </nc>
  </rcc>
  <rcc rId="138568" sId="1">
    <oc r="F15" t="inlineStr">
      <is>
        <t>MCO-PUJ-MCO</t>
      </is>
    </oc>
    <nc r="F15" t="inlineStr">
      <is>
        <t>PTY-PUJ-PTY</t>
      </is>
    </nc>
  </rcc>
  <rcc rId="138569" sId="1">
    <oc r="B16" t="inlineStr">
      <is>
        <t>WESTJET AIRLINES</t>
      </is>
    </oc>
    <nc r="B16" t="inlineStr">
      <is>
        <t>AMERICAN AIRLINES</t>
      </is>
    </nc>
  </rcc>
  <rcc rId="138570" sId="1">
    <oc r="C16" t="inlineStr">
      <is>
        <t>WJA 2938/2939</t>
      </is>
    </oc>
    <nc r="C16" t="inlineStr">
      <is>
        <t>AAL 1280/980</t>
      </is>
    </nc>
  </rcc>
  <rcc rId="138571" sId="1" numFmtId="23">
    <oc r="D16">
      <v>46158.402777777781</v>
    </oc>
    <nc r="D16">
      <v>46164.447222222225</v>
    </nc>
  </rcc>
  <rcc rId="138572" sId="1" numFmtId="23">
    <oc r="E16">
      <v>46158.444444444445</v>
    </oc>
    <nc r="E16">
      <v>46164.488888888889</v>
    </nc>
  </rcc>
  <rcc rId="138573" sId="1">
    <oc r="F16" t="inlineStr">
      <is>
        <t>YQB-PUJ-YQB</t>
      </is>
    </oc>
    <nc r="F16" t="inlineStr">
      <is>
        <t>CLT-PUJ-CLT</t>
      </is>
    </nc>
  </rcc>
  <rcc rId="138574" sId="1">
    <oc r="B17" t="inlineStr">
      <is>
        <t>JETBLUE AIRWAYS</t>
      </is>
    </oc>
    <nc r="B17" t="inlineStr">
      <is>
        <t>AMERICAN AIRLINES</t>
      </is>
    </nc>
  </rcc>
  <rcc rId="138575" sId="1">
    <oc r="C17" t="inlineStr">
      <is>
        <t>JBU 2895/2896</t>
      </is>
    </oc>
    <nc r="C17" t="inlineStr">
      <is>
        <t>AAL 1485/1161</t>
      </is>
    </nc>
  </rcc>
  <rcc rId="138576" sId="1" numFmtId="23">
    <oc r="D17">
      <v>46158.414583333331</v>
    </oc>
    <nc r="D17">
      <v>46164.451388888891</v>
    </nc>
  </rcc>
  <rcc rId="138577" sId="1" numFmtId="23">
    <oc r="E17">
      <v>46158.466666666667</v>
    </oc>
    <nc r="E17">
      <v>46164.493055555555</v>
    </nc>
  </rcc>
  <rcc rId="138578" sId="1">
    <oc r="F17" t="inlineStr">
      <is>
        <t>BOS-PUJ-BOS</t>
      </is>
    </oc>
    <nc r="F17" t="inlineStr">
      <is>
        <t>JFK-PUJ-JFK</t>
      </is>
    </nc>
  </rcc>
  <rcc rId="138579" sId="1">
    <oc r="C18" t="inlineStr">
      <is>
        <t>JBU 1731/2632</t>
      </is>
    </oc>
    <nc r="C18" t="inlineStr">
      <is>
        <t>JBU 989/1008</t>
      </is>
    </nc>
  </rcc>
  <rcc rId="138580" sId="1" numFmtId="23">
    <oc r="D18">
      <v>46158.415277777778</v>
    </oc>
    <nc r="D18">
      <v>46164.453472222223</v>
    </nc>
  </rcc>
  <rcc rId="138581" sId="1" numFmtId="23">
    <oc r="E18">
      <v>46158.458333333336</v>
    </oc>
    <nc r="E18">
      <v>46164.506249999999</v>
    </nc>
  </rcc>
  <rcc rId="138582" sId="1">
    <oc r="F18" t="inlineStr">
      <is>
        <t>SJU-PUJ-SJU</t>
      </is>
    </oc>
    <nc r="F18" t="inlineStr">
      <is>
        <t>JFK-PUJ-JFK</t>
      </is>
    </nc>
  </rcc>
  <rcc rId="138583" sId="1">
    <oc r="B19" t="inlineStr">
      <is>
        <t>BREEZE AIRWAYS</t>
      </is>
    </oc>
    <nc r="B19" t="inlineStr">
      <is>
        <t>AMERICAN AIRLINES</t>
      </is>
    </nc>
  </rcc>
  <rcc rId="138584" sId="1">
    <oc r="C19" t="inlineStr">
      <is>
        <t>MXY 380/381</t>
      </is>
    </oc>
    <nc r="C19" t="inlineStr">
      <is>
        <t>AAL 2641/2641</t>
      </is>
    </nc>
  </rcc>
  <rcc rId="138585" sId="1" numFmtId="23">
    <oc r="D19">
      <v>46158.430555555555</v>
    </oc>
    <nc r="D19">
      <v>46164.454861111109</v>
    </nc>
  </rcc>
  <rcc rId="138586" sId="1" numFmtId="23">
    <oc r="E19">
      <v>46158.472222222219</v>
    </oc>
    <nc r="E19">
      <v>46164.49722222222</v>
    </nc>
  </rcc>
  <rcc rId="138587" sId="1">
    <oc r="F19" t="inlineStr">
      <is>
        <t>RDU-PUJ-RDU</t>
      </is>
    </oc>
    <nc r="F19" t="inlineStr">
      <is>
        <t>PHL-PUJ-PHL</t>
      </is>
    </nc>
  </rcc>
  <rcc rId="138588" sId="1">
    <oc r="C20" t="inlineStr">
      <is>
        <t>FFT 239/7</t>
      </is>
    </oc>
    <nc r="C20" t="inlineStr">
      <is>
        <t>FFT 22/23</t>
      </is>
    </nc>
  </rcc>
  <rcc rId="138589" sId="1" numFmtId="23">
    <oc r="D20">
      <v>46158.440972222219</v>
    </oc>
    <nc r="D20">
      <v>46164.456250000003</v>
    </nc>
  </rcc>
  <rcc rId="138590" sId="1" numFmtId="23">
    <oc r="E20">
      <v>46158.493055555555</v>
    </oc>
    <nc r="E20">
      <v>46164.504861111112</v>
    </nc>
  </rcc>
  <rcc rId="138591" sId="1">
    <oc r="F20" t="inlineStr">
      <is>
        <t>SJU-PUJ-STL</t>
      </is>
    </oc>
    <nc r="F20" t="inlineStr">
      <is>
        <t>PHL-PUJ-PHL</t>
      </is>
    </nc>
  </rcc>
  <rcc rId="138592" sId="1">
    <oc r="C21" t="inlineStr">
      <is>
        <t>CMP 177/178</t>
      </is>
    </oc>
    <nc r="C21" t="inlineStr">
      <is>
        <t>CMP 110/109</t>
      </is>
    </nc>
  </rcc>
  <rcc rId="138593" sId="1" numFmtId="23">
    <oc r="D21">
      <v>46158.443749999999</v>
    </oc>
    <nc r="D21">
      <v>46164.457638888889</v>
    </nc>
  </rcc>
  <rcc rId="138594" sId="1" numFmtId="23">
    <oc r="E21">
      <v>46158.488888888889</v>
    </oc>
    <nc r="E21">
      <v>46164.503472222219</v>
    </nc>
  </rcc>
  <rcc rId="138595" sId="1">
    <oc r="B22" t="inlineStr">
      <is>
        <t>AMERICAN AIRLINES</t>
      </is>
    </oc>
    <nc r="B22" t="inlineStr">
      <is>
        <t>ARAJET</t>
      </is>
    </nc>
  </rcc>
  <rcc rId="138596" sId="1">
    <oc r="C22" t="inlineStr">
      <is>
        <t>AAL 2681/2681</t>
      </is>
    </oc>
    <nc r="C22" t="inlineStr">
      <is>
        <t>DWI 5863/6020</t>
      </is>
    </nc>
  </rcc>
  <rcc rId="138597" sId="1" numFmtId="23">
    <oc r="D22">
      <v>46158.447916666664</v>
    </oc>
    <nc r="D22">
      <v>46164.458333333336</v>
    </nc>
  </rcc>
  <rcc rId="138598" sId="1" numFmtId="23">
    <oc r="E22">
      <v>46158.489583333336</v>
    </oc>
    <nc r="E22">
      <v>46164.597222222219</v>
    </nc>
  </rcc>
  <rcc rId="138599" sId="1">
    <oc r="F22" t="inlineStr">
      <is>
        <t>CLT-PUJ-CLT</t>
      </is>
    </oc>
    <nc r="F22" t="inlineStr">
      <is>
        <t>YYZ-PUJ-GRU</t>
      </is>
    </nc>
  </rcc>
  <rcc rId="138600" sId="1">
    <oc r="C23" t="inlineStr">
      <is>
        <t>AAL 2638/1315</t>
      </is>
    </oc>
    <nc r="C23" t="inlineStr">
      <is>
        <t>AAL 1270/1270</t>
      </is>
    </nc>
  </rcc>
  <rcc rId="138601" sId="1" numFmtId="23">
    <oc r="D23">
      <v>46158.45208333333</v>
    </oc>
    <nc r="D23">
      <v>46164.461111111108</v>
    </nc>
  </rcc>
  <rcc rId="138602" sId="1" numFmtId="23">
    <oc r="E23">
      <v>46158.493750000001</v>
    </oc>
    <nc r="E23">
      <v>46164.50277777778</v>
    </nc>
  </rcc>
  <rcc rId="138603" sId="1">
    <oc r="F23" t="inlineStr">
      <is>
        <t>MIA-PUJ-JFK</t>
      </is>
    </oc>
    <nc r="F23" t="inlineStr">
      <is>
        <t>MIA-PUJ-MIA</t>
      </is>
    </nc>
  </rcc>
  <rcc rId="138604" sId="1">
    <oc r="B24" t="inlineStr">
      <is>
        <t>AMERICAN AIRLINES</t>
      </is>
    </oc>
    <nc r="B24" t="inlineStr">
      <is>
        <t>ARAJET</t>
      </is>
    </nc>
  </rcc>
  <rcc rId="138605" sId="1">
    <oc r="C24" t="inlineStr">
      <is>
        <t>AAL 2557/309</t>
      </is>
    </oc>
    <nc r="C24" t="inlineStr">
      <is>
        <t>DWI 6269/6114</t>
      </is>
    </nc>
  </rcc>
  <rcc rId="138606" sId="1" numFmtId="23">
    <oc r="D24">
      <v>46158.456250000003</v>
    </oc>
    <nc r="D24">
      <v>46164.465277777781</v>
    </nc>
  </rcc>
  <rcc rId="138607" sId="1" numFmtId="23">
    <oc r="E24">
      <v>46158.504166666666</v>
    </oc>
    <nc r="E24">
      <v>46164.624305555553</v>
    </nc>
  </rcc>
  <rcc rId="138608" sId="1">
    <oc r="F24" t="inlineStr">
      <is>
        <t>JFK-PUJ-ORD</t>
      </is>
    </oc>
    <nc r="F24" t="inlineStr">
      <is>
        <t>EZE-PUJ-SCL</t>
      </is>
    </nc>
  </rcc>
  <rcc rId="138609" sId="1">
    <oc r="B25" t="inlineStr">
      <is>
        <t>COPA AIRLINES</t>
      </is>
    </oc>
    <nc r="B25" t="inlineStr">
      <is>
        <t>ARAJET</t>
      </is>
    </nc>
  </rcc>
  <rcc rId="138610" sId="1">
    <oc r="C25" t="inlineStr">
      <is>
        <t>CMP 110/109</t>
      </is>
    </oc>
    <nc r="C25" t="inlineStr">
      <is>
        <t>DWI 6173/7002</t>
      </is>
    </nc>
  </rcc>
  <rcc rId="138611" sId="1" numFmtId="23">
    <oc r="D25">
      <v>46158.457638888889</v>
    </oc>
    <nc r="D25">
      <v>46164.475694444445</v>
    </nc>
  </rcc>
  <rcc rId="138612" sId="1" numFmtId="23">
    <oc r="E25">
      <v>46158.503472222219</v>
    </oc>
    <nc r="E25">
      <v>46164.567361111112</v>
    </nc>
  </rcc>
  <rcc rId="138613" sId="1">
    <oc r="F25" t="inlineStr">
      <is>
        <t>PTY-PUJ-PTY</t>
      </is>
    </oc>
    <nc r="F25" t="inlineStr">
      <is>
        <t>SCL-PUJ-CUN</t>
      </is>
    </nc>
  </rcc>
  <rcc rId="138614" sId="1">
    <oc r="B26" t="inlineStr">
      <is>
        <t>ALLEGIANT AIR</t>
      </is>
    </oc>
    <nc r="B26" t="inlineStr">
      <is>
        <t>AVIANCA</t>
      </is>
    </nc>
  </rcc>
  <rcc rId="138615" sId="1">
    <oc r="C26" t="inlineStr">
      <is>
        <t>AAY 7000/7001</t>
      </is>
    </oc>
    <nc r="C26" t="inlineStr">
      <is>
        <t>AVA 128/129</t>
      </is>
    </nc>
  </rcc>
  <rcc rId="138616" sId="1" numFmtId="23">
    <oc r="D26">
      <v>46158.458333333336</v>
    </oc>
    <nc r="D26">
      <v>46164.475694444445</v>
    </nc>
  </rcc>
  <rcc rId="138617" sId="1" numFmtId="23">
    <oc r="E26">
      <v>46158.5</v>
    </oc>
    <nc r="E26">
      <v>46164.534722222219</v>
    </nc>
  </rcc>
  <rcc rId="138618" sId="1">
    <oc r="F26" t="inlineStr">
      <is>
        <t>PIT-PUJ-PIT</t>
      </is>
    </oc>
    <nc r="F26" t="inlineStr">
      <is>
        <t>BOG-PUJ-BOG</t>
      </is>
    </nc>
  </rcc>
  <rcc rId="138619" sId="1">
    <oc r="B27" t="inlineStr">
      <is>
        <t>ALLEGIANT AIR</t>
      </is>
    </oc>
    <nc r="B27" t="inlineStr">
      <is>
        <t>ARAJET</t>
      </is>
    </nc>
  </rcc>
  <rcc rId="138620" sId="1">
    <oc r="C27" t="inlineStr">
      <is>
        <t>AAY 7008/7009</t>
      </is>
    </oc>
    <nc r="C27" t="inlineStr">
      <is>
        <t>DWI 6463/5220</t>
      </is>
    </nc>
  </rcc>
  <rcc rId="138621" sId="1" numFmtId="23">
    <oc r="D27">
      <v>46158.458333333336</v>
    </oc>
    <nc r="D27">
      <v>46164.481249999997</v>
    </nc>
  </rcc>
  <rcc rId="138622" sId="1" numFmtId="23">
    <oc r="E27">
      <v>46158.5</v>
    </oc>
    <nc r="E27">
      <v>46164.548611111109</v>
    </nc>
  </rcc>
  <rcc rId="138623" sId="1">
    <oc r="F27" t="inlineStr">
      <is>
        <t>CVG-PUJ-CVG</t>
      </is>
    </oc>
    <nc r="F27" t="inlineStr">
      <is>
        <t>COR-PUJ-SFB</t>
      </is>
    </nc>
  </rcc>
  <rcc rId="138624" sId="1">
    <oc r="B28" t="inlineStr">
      <is>
        <t>AMERICAN AIRLINES</t>
      </is>
    </oc>
    <nc r="B28" t="inlineStr">
      <is>
        <t>DELTA AIRLINES</t>
      </is>
    </nc>
  </rcc>
  <rcc rId="138625" sId="1">
    <oc r="C28" t="inlineStr">
      <is>
        <t>AAL 1056/1056</t>
      </is>
    </oc>
    <nc r="C28" t="inlineStr">
      <is>
        <t>DAL 1760/1755</t>
      </is>
    </nc>
  </rcc>
  <rcc rId="138626" sId="1" numFmtId="23">
    <oc r="D28">
      <v>46158.466666666667</v>
    </oc>
    <nc r="D28">
      <v>46164.486111111109</v>
    </nc>
  </rcc>
  <rcc rId="138627" sId="1" numFmtId="23">
    <oc r="E28">
      <v>46158.508333333331</v>
    </oc>
    <nc r="E28">
      <v>46164.545138888891</v>
    </nc>
  </rcc>
  <rcc rId="138628" sId="1">
    <oc r="F28" t="inlineStr">
      <is>
        <t>PHL-PUJ-PHL</t>
      </is>
    </oc>
    <nc r="F28" t="inlineStr">
      <is>
        <t>ATL-PUJ-ATL</t>
      </is>
    </nc>
  </rcc>
  <rcc rId="138629" sId="1">
    <oc r="B29" t="inlineStr">
      <is>
        <t>AVIANCA</t>
      </is>
    </oc>
    <nc r="B29" t="inlineStr">
      <is>
        <t>ARAJET</t>
      </is>
    </nc>
  </rcc>
  <rcc rId="138630" sId="1">
    <oc r="C29" t="inlineStr">
      <is>
        <t>AVA 128/129</t>
      </is>
    </oc>
    <nc r="C29" t="inlineStr">
      <is>
        <t>DWI 5975/1500</t>
      </is>
    </nc>
  </rcc>
  <rcc rId="138631" sId="1" numFmtId="23">
    <oc r="D29">
      <v>46158.475694444445</v>
    </oc>
    <nc r="D29">
      <v>46164.486111111109</v>
    </nc>
  </rcc>
  <rcc rId="138632" sId="1" numFmtId="23">
    <oc r="E29">
      <v>46158.534722222219</v>
    </oc>
    <nc r="E29">
      <v>46164.576388888891</v>
    </nc>
  </rcc>
  <rcc rId="138633" sId="1">
    <oc r="F29" t="inlineStr">
      <is>
        <t>BOG-PUJ-BOG</t>
      </is>
    </oc>
    <nc r="F29" t="inlineStr">
      <is>
        <t>YUL-PUJ-BOG</t>
      </is>
    </nc>
  </rcc>
  <rcc rId="138634" sId="1">
    <oc r="B30" t="inlineStr">
      <is>
        <t>SKY AIRLINE PERÚ</t>
      </is>
    </oc>
    <nc r="B30" t="inlineStr">
      <is>
        <t>JETSMART</t>
      </is>
    </nc>
  </rcc>
  <rcc rId="138635" sId="1">
    <oc r="C30" t="inlineStr">
      <is>
        <t>SKX 5582/5583</t>
      </is>
    </oc>
    <nc r="C30" t="inlineStr">
      <is>
        <t>JEC 5830/5835</t>
      </is>
    </nc>
  </rcc>
  <rcc rId="138636" sId="1" numFmtId="23">
    <oc r="D30">
      <v>46158.475694444445</v>
    </oc>
    <nc r="D30">
      <v>46164.486111111109</v>
    </nc>
  </rcc>
  <rcc rId="138637" sId="1" numFmtId="23">
    <oc r="E30">
      <v>46158.517361111109</v>
    </oc>
    <nc r="E30">
      <v>46164.520833333336</v>
    </nc>
  </rcc>
  <rcc rId="138638" sId="1">
    <oc r="F30" t="inlineStr">
      <is>
        <t>LIM-PUJ-LIM</t>
      </is>
    </oc>
    <nc r="F30" t="inlineStr">
      <is>
        <t>MDE-PUJ-CLO</t>
      </is>
    </nc>
  </rcc>
  <rcc rId="138639" sId="1">
    <oc r="B31" t="inlineStr">
      <is>
        <t>JETBLUE AIRWAYS</t>
      </is>
    </oc>
    <nc r="B31" t="inlineStr">
      <is>
        <t>COPA AIRLINES</t>
      </is>
    </nc>
  </rcc>
  <rcc rId="138640" sId="1">
    <oc r="C31" t="inlineStr">
      <is>
        <t>JBU 869/268</t>
      </is>
    </oc>
    <nc r="C31" t="inlineStr">
      <is>
        <t>CMP 425/426</t>
      </is>
    </nc>
  </rcc>
  <rcc rId="138641" sId="1" numFmtId="23">
    <oc r="D31">
      <v>46158.478472222225</v>
    </oc>
    <nc r="D31">
      <v>46164.489583333336</v>
    </nc>
  </rcc>
  <rcc rId="138642" sId="1" numFmtId="23">
    <oc r="E31">
      <v>46158.530555555553</v>
    </oc>
    <nc r="E31">
      <v>46164.53402777778</v>
    </nc>
  </rcc>
  <rcc rId="138643" sId="1">
    <oc r="F31" t="inlineStr">
      <is>
        <t>JFK-PUJ-JFK</t>
      </is>
    </oc>
    <nc r="F31" t="inlineStr">
      <is>
        <t>PTY-PUJ-PTY</t>
      </is>
    </nc>
  </rcc>
  <rcc rId="138644" sId="1">
    <oc r="B32" t="inlineStr">
      <is>
        <t>JETSMART</t>
      </is>
    </oc>
    <nc r="B32" t="inlineStr">
      <is>
        <t>AVIANCA</t>
      </is>
    </nc>
  </rcc>
  <rcc rId="138645" sId="1">
    <oc r="C32" t="inlineStr">
      <is>
        <t>JEC 5830/5835</t>
      </is>
    </oc>
    <nc r="C32" t="inlineStr">
      <is>
        <t>AVA 220/221</t>
      </is>
    </nc>
  </rcc>
  <rcc rId="138646" sId="1" numFmtId="23">
    <oc r="D32">
      <v>46158.486111111109</v>
    </oc>
    <nc r="D32">
      <v>46164.493055555555</v>
    </nc>
  </rcc>
  <rcc rId="138647" sId="1" numFmtId="23">
    <oc r="E32">
      <v>46158.520833333336</v>
    </oc>
    <nc r="E32">
      <v>46164.541666666664</v>
    </nc>
  </rcc>
  <rcc rId="138648" sId="1">
    <oc r="F32" t="inlineStr">
      <is>
        <t>MDE-PUJ-CLO</t>
      </is>
    </oc>
    <nc r="F32" t="inlineStr">
      <is>
        <t>MDE-PUJ-MDE</t>
      </is>
    </nc>
  </rcc>
  <rcc rId="138649" sId="1">
    <oc r="B33" t="inlineStr">
      <is>
        <t>DELTA AIRLINES</t>
      </is>
    </oc>
    <nc r="B33" t="inlineStr">
      <is>
        <t>ARAJET</t>
      </is>
    </nc>
  </rcc>
  <rcc rId="138650" sId="1">
    <oc r="C33" t="inlineStr">
      <is>
        <t>DAL 1760/1755</t>
      </is>
    </oc>
    <nc r="C33" t="inlineStr">
      <is>
        <t>DWI 6261/1002</t>
      </is>
    </nc>
  </rcc>
  <rcc rId="138651" sId="1" numFmtId="23">
    <oc r="D33">
      <v>46158.486111111109</v>
    </oc>
    <nc r="D33">
      <v>46164.496527777781</v>
    </nc>
  </rcc>
  <rcc rId="138652" sId="1" numFmtId="23">
    <oc r="E33">
      <v>46158.545138888891</v>
    </oc>
    <nc r="E33">
      <v>46164.635416666664</v>
    </nc>
  </rcc>
  <rcc rId="138653" sId="1">
    <oc r="F33" t="inlineStr">
      <is>
        <t>ATL-PUJ-ATL</t>
      </is>
    </oc>
    <nc r="F33" t="inlineStr">
      <is>
        <t>EZE-PUJ-SJU</t>
      </is>
    </nc>
  </rcc>
  <rcc rId="138654" sId="1">
    <oc r="B34" t="inlineStr">
      <is>
        <t>COPA AIRLINES</t>
      </is>
    </oc>
    <nc r="B34" t="inlineStr">
      <is>
        <t>JETBLUE AIRWAYS</t>
      </is>
    </nc>
  </rcc>
  <rcc rId="138655" sId="1">
    <oc r="C34" t="inlineStr">
      <is>
        <t>CMP 425/426</t>
      </is>
    </oc>
    <nc r="C34" t="inlineStr">
      <is>
        <t>JBU 169/168</t>
      </is>
    </nc>
  </rcc>
  <rcc rId="138656" sId="1" numFmtId="23">
    <oc r="D34">
      <v>46158.489583333336</v>
    </oc>
    <nc r="D34">
      <v>46164.504166666666</v>
    </nc>
  </rcc>
  <rcc rId="138657" sId="1" numFmtId="23">
    <oc r="E34">
      <v>46158.53402777778</v>
    </oc>
    <nc r="E34">
      <v>46164.559027777781</v>
    </nc>
  </rcc>
  <rcc rId="138658" sId="1">
    <oc r="F34" t="inlineStr">
      <is>
        <t>PTY-PUJ-PTY</t>
      </is>
    </oc>
    <nc r="F34" t="inlineStr">
      <is>
        <t>JFK-PUJ-JFK</t>
      </is>
    </nc>
  </rcc>
  <rcc rId="138659" sId="1">
    <oc r="B35" t="inlineStr">
      <is>
        <t>AVIANCA</t>
      </is>
    </oc>
    <nc r="B35" t="inlineStr">
      <is>
        <t>LAN CHILE</t>
      </is>
    </nc>
  </rcc>
  <rcc rId="138660" sId="1">
    <oc r="C35" t="inlineStr">
      <is>
        <t>AVA 220/221</t>
      </is>
    </oc>
    <nc r="C35" t="inlineStr">
      <is>
        <t>LAN 591/591</t>
      </is>
    </nc>
  </rcc>
  <rcc rId="138661" sId="1" numFmtId="23">
    <oc r="D35">
      <v>46158.493055555555</v>
    </oc>
    <nc r="D35">
      <v>46164.506944444445</v>
    </nc>
  </rcc>
  <rcc rId="138662" sId="1" numFmtId="23">
    <oc r="E35">
      <v>46158.541666666664</v>
    </oc>
    <nc r="E35">
      <v>46164.569444444445</v>
    </nc>
  </rcc>
  <rcc rId="138663" sId="1">
    <oc r="F35" t="inlineStr">
      <is>
        <t>MDE-PUJ-MDE</t>
      </is>
    </oc>
    <nc r="F35" t="inlineStr">
      <is>
        <t>MIA-PUJ-SCL</t>
      </is>
    </nc>
  </rcc>
  <rcc rId="138664" sId="1">
    <oc r="B36" t="inlineStr">
      <is>
        <t>SOUTHWEST AIRLINES</t>
      </is>
    </oc>
    <nc r="B36" t="inlineStr">
      <is>
        <t>JETBLUE AIRWAYS</t>
      </is>
    </nc>
  </rcc>
  <rcc rId="138665" sId="1">
    <oc r="C36" t="inlineStr">
      <is>
        <t>SWA 811/1999</t>
      </is>
    </oc>
    <nc r="C36" t="inlineStr">
      <is>
        <t>JBU 1809/1078</t>
      </is>
    </nc>
  </rcc>
  <rcc rId="138666" sId="1" numFmtId="23">
    <oc r="D36">
      <v>46158.496527777781</v>
    </oc>
    <nc r="D36">
      <v>46164.508333333331</v>
    </nc>
  </rcc>
  <rcc rId="138667" sId="1" numFmtId="23">
    <oc r="E36">
      <v>46158.538194444445</v>
    </oc>
    <nc r="E36">
      <v>46164.553472222222</v>
    </nc>
  </rcc>
  <rcc rId="138668" sId="1">
    <oc r="F36" t="inlineStr">
      <is>
        <t>BWI-PUJ-MDW</t>
      </is>
    </oc>
    <nc r="F36" t="inlineStr">
      <is>
        <t>MCO-PUJ-MCO</t>
      </is>
    </nc>
  </rcc>
  <rcc rId="138669" sId="1">
    <oc r="B37" t="inlineStr">
      <is>
        <t>JETBLUE AIRWAYS</t>
      </is>
    </oc>
    <nc r="B37" t="inlineStr">
      <is>
        <t>UNITED AIRLINES</t>
      </is>
    </nc>
  </rcc>
  <rcc rId="138670" sId="1">
    <oc r="C37" t="inlineStr">
      <is>
        <t>JBU 495/496</t>
      </is>
    </oc>
    <nc r="C37" t="inlineStr">
      <is>
        <t>UAL 1514/1698</t>
      </is>
    </nc>
  </rcc>
  <rcc rId="138671" sId="1" numFmtId="23">
    <oc r="D37">
      <v>46158.500694444447</v>
    </oc>
    <nc r="D37">
      <v>46164.510416666664</v>
    </nc>
  </rcc>
  <rcc rId="138672" sId="1" numFmtId="23">
    <oc r="E37">
      <v>46158.548611111109</v>
    </oc>
    <nc r="E37">
      <v>46164.559027777781</v>
    </nc>
  </rcc>
  <rcc rId="138673" sId="1">
    <oc r="F37" t="inlineStr">
      <is>
        <t>BOS-PUJ-BOS</t>
      </is>
    </oc>
    <nc r="F37" t="inlineStr">
      <is>
        <t>EWR-PUJ-DEN</t>
      </is>
    </nc>
  </rcc>
  <rcc rId="138674" sId="1">
    <oc r="B38" t="inlineStr">
      <is>
        <t>LAN CHILE</t>
      </is>
    </oc>
    <nc r="B38" t="inlineStr">
      <is>
        <t>DELTA AIRLINES</t>
      </is>
    </nc>
  </rcc>
  <rcc rId="138675" sId="1">
    <oc r="C38" t="inlineStr">
      <is>
        <t>LAN 591/591</t>
      </is>
    </oc>
    <nc r="C38" t="inlineStr">
      <is>
        <t>DAL 1994/1833</t>
      </is>
    </nc>
  </rcc>
  <rcc rId="138676" sId="1" numFmtId="23">
    <oc r="D38">
      <v>46158.506944444445</v>
    </oc>
    <nc r="D38">
      <v>46164.515972222223</v>
    </nc>
  </rcc>
  <rcc rId="138677" sId="1" numFmtId="23">
    <oc r="E38">
      <v>46158.569444444445</v>
    </oc>
    <nc r="E38">
      <v>46164.574999999997</v>
    </nc>
  </rcc>
  <rcc rId="138678" sId="1">
    <oc r="F38" t="inlineStr">
      <is>
        <t>MIA-PUJ-SCL</t>
      </is>
    </oc>
    <nc r="F38" t="inlineStr">
      <is>
        <t>JFK-PUJ-JFK</t>
      </is>
    </nc>
  </rcc>
  <rcc rId="138679" sId="1">
    <oc r="B39" t="inlineStr">
      <is>
        <t>UNITED AIRLINES</t>
      </is>
    </oc>
    <nc r="B39" t="inlineStr">
      <is>
        <t>JETBLUE AIRWAYS</t>
      </is>
    </nc>
  </rcc>
  <rcc rId="138680" sId="1">
    <oc r="C39" t="inlineStr">
      <is>
        <t>UAL 1514/1698</t>
      </is>
    </oc>
    <nc r="C39" t="inlineStr">
      <is>
        <t>JBU 1731/1632</t>
      </is>
    </nc>
  </rcc>
  <rcc rId="138681" sId="1" numFmtId="23">
    <oc r="D39">
      <v>46158.510416666664</v>
    </oc>
    <nc r="D39">
      <v>46164.520138888889</v>
    </nc>
  </rcc>
  <rcc rId="138682" sId="1" numFmtId="23">
    <oc r="E39">
      <v>46158.559027777781</v>
    </oc>
    <nc r="E39">
      <v>46164.56527777778</v>
    </nc>
  </rcc>
  <rcc rId="138683" sId="1">
    <oc r="F39" t="inlineStr">
      <is>
        <t>EWR-PUJ-DEN</t>
      </is>
    </oc>
    <nc r="F39" t="inlineStr">
      <is>
        <t>SJU-PUJ-SJU</t>
      </is>
    </nc>
  </rcc>
  <rcc rId="138684" sId="1">
    <oc r="B40" t="inlineStr">
      <is>
        <t>COPA AIRLINES</t>
      </is>
    </oc>
    <nc r="B40" t="inlineStr">
      <is>
        <t>WESTJET AIRLINES</t>
      </is>
    </nc>
  </rcc>
  <rcc rId="138685" sId="1">
    <oc r="C40" t="inlineStr">
      <is>
        <t>CMP 321/327</t>
      </is>
    </oc>
    <nc r="C40" t="inlineStr">
      <is>
        <t>WJA 2110/2703</t>
      </is>
    </nc>
  </rcc>
  <rcc rId="138686" sId="1" numFmtId="23">
    <oc r="D40">
      <v>46158.513194444444</v>
    </oc>
    <nc r="D40">
      <v>46164.524305555555</v>
    </nc>
  </rcc>
  <rcc rId="138687" sId="1" numFmtId="23">
    <oc r="E40">
      <v>46158.5625</v>
    </oc>
    <nc r="E40">
      <v>46164.565972222219</v>
    </nc>
  </rcc>
  <rcc rId="138688" sId="1">
    <oc r="F40" t="inlineStr">
      <is>
        <t>PTY-PUJ-PTY</t>
      </is>
    </oc>
    <nc r="F40" t="inlineStr">
      <is>
        <t>YYZ-PUJ-YYZ</t>
      </is>
    </nc>
  </rcc>
  <rcc rId="138689" sId="1">
    <oc r="B41" t="inlineStr">
      <is>
        <t>DELTA AIRLINES</t>
      </is>
    </oc>
    <nc r="B41" t="inlineStr">
      <is>
        <t>SOUTHWEST AIRLINES</t>
      </is>
    </nc>
  </rcc>
  <rcc rId="138690" sId="1">
    <oc r="C41" t="inlineStr">
      <is>
        <t>DAL 1994/1833</t>
      </is>
    </oc>
    <nc r="C41" t="inlineStr">
      <is>
        <t>SWA 811/812</t>
      </is>
    </nc>
  </rcc>
  <rcc rId="138691" sId="1" numFmtId="23">
    <oc r="D41">
      <v>46158.515972222223</v>
    </oc>
    <nc r="D41">
      <v>46164.527777777781</v>
    </nc>
  </rcc>
  <rcc rId="138692" sId="1" numFmtId="23">
    <oc r="E41">
      <v>46158.574999999997</v>
    </oc>
    <nc r="E41">
      <v>46164.569444444445</v>
    </nc>
  </rcc>
  <rcc rId="138693" sId="1">
    <oc r="F41" t="inlineStr">
      <is>
        <t>JFK-PUJ-JFK</t>
      </is>
    </oc>
    <nc r="F41" t="inlineStr">
      <is>
        <t>BWI-PUJ-BWI</t>
      </is>
    </nc>
  </rcc>
  <rcc rId="138694" sId="1">
    <oc r="B42" t="inlineStr">
      <is>
        <t>AMERICAN AIRLINES</t>
      </is>
    </oc>
    <nc r="B42" t="inlineStr">
      <is>
        <t>WESTJET AIRLINES</t>
      </is>
    </nc>
  </rcc>
  <rcc rId="138695" sId="1">
    <oc r="C42" t="inlineStr">
      <is>
        <t>AAL 2641/1295</t>
      </is>
    </oc>
    <nc r="C42" t="inlineStr">
      <is>
        <t>WJA 2902/2903</t>
      </is>
    </nc>
  </rcc>
  <rcc rId="138696" sId="1" numFmtId="23">
    <oc r="D42">
      <v>46158.51666666667</v>
    </oc>
    <nc r="D42">
      <v>46164.527777777781</v>
    </nc>
  </rcc>
  <rcc rId="138697" sId="1" numFmtId="23">
    <oc r="E42">
      <v>46158.558333333334</v>
    </oc>
    <nc r="E42">
      <v>46164.565972222219</v>
    </nc>
  </rcc>
  <rcc rId="138698" sId="1">
    <oc r="F42" t="inlineStr">
      <is>
        <t>PHL-PUJ-MIA</t>
      </is>
    </oc>
    <nc r="F42" t="inlineStr">
      <is>
        <t>YUL-PUJ-YUL</t>
      </is>
    </nc>
  </rcc>
  <rcc rId="138699" sId="1">
    <oc r="B43" t="inlineStr">
      <is>
        <t>JETBLUE AIRWAYS</t>
      </is>
    </oc>
    <nc r="B43" t="inlineStr">
      <is>
        <t>UNITED AIRLINES</t>
      </is>
    </nc>
  </rcc>
  <rcc rId="138700" sId="1">
    <oc r="C43" t="inlineStr">
      <is>
        <t>JBU 1015/1016</t>
      </is>
    </oc>
    <nc r="C43" t="inlineStr">
      <is>
        <t>UAL 1661/1664</t>
      </is>
    </nc>
  </rcc>
  <rcc rId="138701" sId="1" numFmtId="23">
    <oc r="D43">
      <v>46158.525694444441</v>
    </oc>
    <nc r="D43">
      <v>46164.527777777781</v>
    </nc>
  </rcc>
  <rcc rId="138702" sId="1" numFmtId="23">
    <oc r="E43">
      <v>46158.572222222225</v>
    </oc>
    <nc r="E43">
      <v>46164.576388888891</v>
    </nc>
  </rcc>
  <rcc rId="138703" sId="1">
    <oc r="F43" t="inlineStr">
      <is>
        <t>EWR-PUJ-EWR</t>
      </is>
    </oc>
    <nc r="F43" t="inlineStr">
      <is>
        <t>IAD-PUJ-ORD</t>
      </is>
    </nc>
  </rcc>
  <rcc rId="138704" sId="1">
    <oc r="B44" t="inlineStr">
      <is>
        <t>UNITED AIRLINES</t>
      </is>
    </oc>
    <nc r="B44" t="inlineStr">
      <is>
        <t>COPA AIRLINES</t>
      </is>
    </nc>
  </rcc>
  <rcc rId="138705" sId="1">
    <oc r="C44" t="inlineStr">
      <is>
        <t>UAL 1661/1664</t>
      </is>
    </oc>
    <nc r="C44" t="inlineStr">
      <is>
        <t>CMP 241/242</t>
      </is>
    </nc>
  </rcc>
  <rcc rId="138706" sId="1" numFmtId="23">
    <oc r="D44">
      <v>46158.527777777781</v>
    </oc>
    <nc r="D44">
      <v>46164.530555555553</v>
    </nc>
  </rcc>
  <rcc rId="138707" sId="1" numFmtId="23">
    <oc r="E44">
      <v>46158.576388888891</v>
    </oc>
    <nc r="E44">
      <v>46164.57916666667</v>
    </nc>
  </rcc>
  <rcc rId="138708" sId="1">
    <oc r="F44" t="inlineStr">
      <is>
        <t>IAD-PUJ-ORD</t>
      </is>
    </oc>
    <nc r="F44" t="inlineStr">
      <is>
        <t>PTY-PUJ-PTY</t>
      </is>
    </nc>
  </rcc>
  <rcc rId="138709" sId="1">
    <oc r="C45" t="inlineStr">
      <is>
        <t>AAL 1965/1965</t>
      </is>
    </oc>
    <nc r="C45" t="inlineStr">
      <is>
        <t>AAL 1179/1179</t>
      </is>
    </nc>
  </rcc>
  <rcc rId="138710" sId="1" numFmtId="23">
    <oc r="D45">
      <v>46158.529166666667</v>
    </oc>
    <nc r="D45">
      <v>46164.533333333333</v>
    </nc>
  </rcc>
  <rcc rId="138711" sId="1" numFmtId="23">
    <oc r="E45">
      <v>46158.570833333331</v>
    </oc>
    <nc r="E45">
      <v>46164.578472222223</v>
    </nc>
  </rcc>
  <rcc rId="138712" sId="1">
    <oc r="B46" t="inlineStr">
      <is>
        <t>COPA AIRLINES</t>
      </is>
    </oc>
    <nc r="B46" t="inlineStr">
      <is>
        <t>AMERICAN AIRLINES</t>
      </is>
    </nc>
  </rcc>
  <rcc rId="138713" sId="1">
    <oc r="C46" t="inlineStr">
      <is>
        <t>CMP 241/242</t>
      </is>
    </oc>
    <nc r="C46" t="inlineStr">
      <is>
        <t>AAL 2419/1245</t>
      </is>
    </nc>
  </rcc>
  <rcc rId="138714" sId="1" numFmtId="23">
    <oc r="D46">
      <v>46158.530555555553</v>
    </oc>
    <nc r="D46">
      <v>46164.536111111112</v>
    </nc>
  </rcc>
  <rcc rId="138715" sId="1" numFmtId="23">
    <oc r="E46">
      <v>46158.57916666667</v>
    </oc>
    <nc r="E46">
      <v>46164.577777777777</v>
    </nc>
  </rcc>
  <rcc rId="138716" sId="1">
    <oc r="F46" t="inlineStr">
      <is>
        <t>PTY-PUJ-PTY</t>
      </is>
    </oc>
    <nc r="F46" t="inlineStr">
      <is>
        <t>MIA-PUJ-MIA</t>
      </is>
    </nc>
  </rcc>
  <rcc rId="138717" sId="1">
    <oc r="B47" t="inlineStr">
      <is>
        <t>AIR CENTURY</t>
      </is>
    </oc>
    <nc r="B47" t="inlineStr">
      <is>
        <t>WINGO</t>
      </is>
    </nc>
  </rcc>
  <rcc rId="138718" sId="1">
    <oc r="C47" t="inlineStr">
      <is>
        <t>CEY 282/281</t>
      </is>
    </oc>
    <nc r="C47" t="inlineStr">
      <is>
        <t>RPB 7026/7027</t>
      </is>
    </nc>
  </rcc>
  <rcc rId="138719" sId="1" numFmtId="23">
    <oc r="D47">
      <v>46158.53125</v>
    </oc>
    <nc r="D47">
      <v>46164.538194444445</v>
    </nc>
  </rcc>
  <rcc rId="138720" sId="1" numFmtId="23">
    <oc r="E47">
      <v>46158.583333333336</v>
    </oc>
    <nc r="E47">
      <v>46164.570833333331</v>
    </nc>
  </rcc>
  <rcc rId="138721" sId="1">
    <oc r="F47" t="inlineStr">
      <is>
        <t>HAV-PUJ-HAV</t>
      </is>
    </oc>
    <nc r="F47" t="inlineStr">
      <is>
        <t>BOG-PUJ-BOG</t>
      </is>
    </nc>
  </rcc>
  <rcc rId="138722" sId="1">
    <oc r="B48" t="inlineStr">
      <is>
        <t>WINGO</t>
      </is>
    </oc>
    <nc r="B48" t="inlineStr">
      <is>
        <t>SOUTHWEST AIRLINES</t>
      </is>
    </nc>
  </rcc>
  <rcc rId="138723" sId="1">
    <oc r="C48" t="inlineStr">
      <is>
        <t>RPB 7026/7027</t>
      </is>
    </oc>
    <nc r="C48" t="inlineStr">
      <is>
        <t>SWA 782/783</t>
      </is>
    </nc>
  </rcc>
  <rcc rId="138724" sId="1" numFmtId="23">
    <oc r="D48">
      <v>46158.538194444445</v>
    </oc>
    <nc r="D48">
      <v>46164.545138888891</v>
    </nc>
  </rcc>
  <rcc rId="138725" sId="1" numFmtId="23">
    <oc r="E48">
      <v>46158.570833333331</v>
    </oc>
    <nc r="E48">
      <v>46164.586805555555</v>
    </nc>
  </rcc>
  <rcc rId="138726" sId="1">
    <oc r="F48" t="inlineStr">
      <is>
        <t>BOG-PUJ-BOG</t>
      </is>
    </oc>
    <nc r="F48" t="inlineStr">
      <is>
        <t>MCO-PUJ-MCO</t>
      </is>
    </nc>
  </rcc>
  <rcc rId="138727" sId="1">
    <oc r="B49" t="inlineStr">
      <is>
        <t>AMERICAN AIRLINES</t>
      </is>
    </oc>
    <nc r="B49" t="inlineStr">
      <is>
        <t>AIR TRANSAT</t>
      </is>
    </nc>
  </rcc>
  <rcc rId="138728" sId="1">
    <oc r="C49" t="inlineStr">
      <is>
        <t>AAL 3112/2419</t>
      </is>
    </oc>
    <nc r="C49" t="inlineStr">
      <is>
        <t>TSC 186/187</t>
      </is>
    </nc>
  </rcc>
  <rcc rId="138729" sId="1" numFmtId="23">
    <oc r="D49">
      <v>46158.538194444445</v>
    </oc>
    <nc r="D49">
      <v>46164.559027777781</v>
    </nc>
  </rcc>
  <rcc rId="138730" sId="1" numFmtId="23">
    <oc r="E49">
      <v>46158.604166666664</v>
    </oc>
    <nc r="E49">
      <v>46164.614583333336</v>
    </nc>
  </rcc>
  <rcc rId="138731" sId="1">
    <oc r="F49" t="inlineStr">
      <is>
        <t>MIA-PUJ-MIA</t>
      </is>
    </oc>
    <nc r="F49" t="inlineStr">
      <is>
        <t>YYZ-PUJ-YYZ</t>
      </is>
    </nc>
  </rcc>
  <rcc rId="138732" sId="1">
    <oc r="C50" t="inlineStr">
      <is>
        <t>DAL 1995/1844</t>
      </is>
    </oc>
    <nc r="C50" t="inlineStr">
      <is>
        <t>DAL 1796/1919</t>
      </is>
    </nc>
  </rcc>
  <rcc rId="138733" sId="1" numFmtId="23">
    <oc r="D50">
      <v>46158.540277777778</v>
    </oc>
    <nc r="D50">
      <v>46164.559027777781</v>
    </nc>
  </rcc>
  <rcc rId="138734" sId="1" numFmtId="23">
    <oc r="E50">
      <v>46158.599305555559</v>
    </oc>
    <nc r="E50">
      <v>46164.618055555555</v>
    </nc>
  </rcc>
  <rcc rId="138735" sId="1">
    <oc r="F50" t="inlineStr">
      <is>
        <t>DTW-PUJ-DTW</t>
      </is>
    </oc>
    <nc r="F50" t="inlineStr">
      <is>
        <t>ATL-PUJ-ATL</t>
      </is>
    </nc>
  </rcc>
  <rcc rId="138736" sId="1">
    <oc r="B51" t="inlineStr">
      <is>
        <t>SOUTHWEST AIRLINES</t>
      </is>
    </oc>
    <nc r="B51" t="inlineStr">
      <is>
        <t>JETBLUE AIRWAYS</t>
      </is>
    </nc>
  </rcc>
  <rcc rId="138737" sId="1">
    <oc r="C51" t="inlineStr">
      <is>
        <t>SWA 782/822</t>
      </is>
    </oc>
    <nc r="C51" t="inlineStr">
      <is>
        <t>JBU 1869/1869</t>
      </is>
    </nc>
  </rcc>
  <rcc rId="138738" sId="1" numFmtId="23">
    <oc r="D51">
      <v>46158.541666666664</v>
    </oc>
    <nc r="D51">
      <v>46164.570833333331</v>
    </nc>
  </rcc>
  <rcc rId="138739" sId="1" numFmtId="23">
    <oc r="E51">
      <v>46158.583333333336</v>
    </oc>
    <nc r="E51">
      <v>46164.615972222222</v>
    </nc>
  </rcc>
  <rcc rId="138740" sId="1">
    <oc r="F51" t="inlineStr">
      <is>
        <t>MCO-PUJ-BWI</t>
      </is>
    </oc>
    <nc r="F51" t="inlineStr">
      <is>
        <t>JFK-PUJ-JFK</t>
      </is>
    </nc>
  </rcc>
  <rcc rId="138741" sId="1">
    <oc r="B52" t="inlineStr">
      <is>
        <t>UNITED AIRLINES</t>
      </is>
    </oc>
    <nc r="B52" t="inlineStr">
      <is>
        <t>AIR TRANSAT</t>
      </is>
    </nc>
  </rcc>
  <rcc rId="138742" sId="1">
    <oc r="C52" t="inlineStr">
      <is>
        <t>UAL 2122/524</t>
      </is>
    </oc>
    <nc r="C52" t="inlineStr">
      <is>
        <t>TSC 398/399</t>
      </is>
    </nc>
  </rcc>
  <rcc rId="138743" sId="1" numFmtId="23">
    <oc r="D52">
      <v>46158.549305555556</v>
    </oc>
    <nc r="D52">
      <v>46164.572916666664</v>
    </nc>
  </rcc>
  <rcc rId="138744" sId="1" numFmtId="23">
    <oc r="E52">
      <v>46158.597222222219</v>
    </oc>
    <nc r="E52">
      <v>46164.628472222219</v>
    </nc>
  </rcc>
  <rcc rId="138745" sId="1">
    <oc r="F52" t="inlineStr">
      <is>
        <t>EWR-PUJ-IAH</t>
      </is>
    </oc>
    <nc r="F52" t="inlineStr">
      <is>
        <t>YUL-PUJ-YUL</t>
      </is>
    </nc>
  </rcc>
  <rcc rId="138746" sId="1">
    <oc r="B53" t="inlineStr">
      <is>
        <t>DELTA AIRLINES</t>
      </is>
    </oc>
    <nc r="B53" t="inlineStr">
      <is>
        <t>JETBLUE AIRWAYS</t>
      </is>
    </nc>
  </rcc>
  <rcc rId="138747" sId="1">
    <oc r="C53" t="inlineStr">
      <is>
        <t>DAL 1796/1919</t>
      </is>
    </oc>
    <nc r="C53" t="inlineStr">
      <is>
        <t>JBU 1015/2374</t>
      </is>
    </nc>
  </rcc>
  <rcc rId="138748" sId="1" numFmtId="23">
    <oc r="D53">
      <v>46158.559027777781</v>
    </oc>
    <nc r="D53">
      <v>46164.572916666664</v>
    </nc>
  </rcc>
  <rcc rId="138749" sId="1" numFmtId="23">
    <oc r="E53">
      <v>46158.618055555555</v>
    </oc>
    <nc r="E53">
      <v>46164.618055555555</v>
    </nc>
  </rcc>
  <rcc rId="138750" sId="1">
    <oc r="F53" t="inlineStr">
      <is>
        <t>ATL-PUJ-ATL</t>
      </is>
    </oc>
    <nc r="F53" t="inlineStr">
      <is>
        <t>EWR-PUJ-FLL</t>
      </is>
    </nc>
  </rcc>
  <rcc rId="138751" sId="1">
    <oc r="B54" t="inlineStr">
      <is>
        <t>AIR TRANSAT</t>
      </is>
    </oc>
    <nc r="B54" t="inlineStr">
      <is>
        <t>AIR CANADA</t>
      </is>
    </nc>
  </rcc>
  <rcc rId="138752" sId="1">
    <oc r="C54" t="inlineStr">
      <is>
        <t>TSC 186/187</t>
      </is>
    </oc>
    <nc r="C54" t="inlineStr">
      <is>
        <t>ACA 1790/1791</t>
      </is>
    </nc>
  </rcc>
  <rcc rId="138753" sId="1" numFmtId="23">
    <oc r="D54">
      <v>46158.559027777781</v>
    </oc>
    <nc r="D54">
      <v>46164.579861111109</v>
    </nc>
  </rcc>
  <rcc rId="138754" sId="1" numFmtId="23">
    <oc r="E54">
      <v>46158.614583333336</v>
    </oc>
    <nc r="E54">
      <v>46164.621527777781</v>
    </nc>
  </rcc>
  <rcc rId="138755" sId="1">
    <oc r="F54" t="inlineStr">
      <is>
        <t>YYZ-PUJ-YYZ</t>
      </is>
    </oc>
    <nc r="F54" t="inlineStr">
      <is>
        <t>YUL-PUJ-YUL</t>
      </is>
    </nc>
  </rcc>
  <rcc rId="138756" sId="1">
    <oc r="C55" t="inlineStr">
      <is>
        <t>JBU 1569/1568</t>
      </is>
    </oc>
    <nc r="C55" t="inlineStr">
      <is>
        <t>JBU 173/1016</t>
      </is>
    </nc>
  </rcc>
  <rcc rId="138757" sId="1" numFmtId="23">
    <oc r="D55">
      <v>46158.560416666667</v>
    </oc>
    <nc r="D55">
      <v>46164.579861111109</v>
    </nc>
  </rcc>
  <rcc rId="138758" sId="1" numFmtId="23">
    <oc r="E55">
      <v>46158.605555555558</v>
    </oc>
    <nc r="E55">
      <v>46164.625</v>
    </nc>
  </rcc>
  <rcc rId="138759" sId="1">
    <oc r="F55" t="inlineStr">
      <is>
        <t>JFK-PUJ-JFK</t>
      </is>
    </oc>
    <nc r="F55" t="inlineStr">
      <is>
        <t>FLL-PUJ-EWR</t>
      </is>
    </nc>
  </rcc>
  <rcc rId="138760" sId="1">
    <oc r="B56" t="inlineStr">
      <is>
        <t>JETBLUE AIRWAYS</t>
      </is>
    </oc>
    <nc r="B56" t="inlineStr">
      <is>
        <t>COPA AIRLINES</t>
      </is>
    </nc>
  </rcc>
  <rcc rId="138761" sId="1">
    <oc r="C56" t="inlineStr">
      <is>
        <t>JBU 2373/2374</t>
      </is>
    </oc>
    <nc r="C56" t="inlineStr">
      <is>
        <t>CMP 375/376</t>
      </is>
    </nc>
  </rcc>
  <rcc rId="138762" sId="1" numFmtId="23">
    <oc r="D56">
      <v>46158.568055555559</v>
    </oc>
    <nc r="D56">
      <v>46164.583333333336</v>
    </nc>
  </rcc>
  <rcc rId="138763" sId="1" numFmtId="23">
    <oc r="E56">
      <v>46158.613194444442</v>
    </oc>
    <nc r="E56">
      <v>46164.631944444445</v>
    </nc>
  </rcc>
  <rcc rId="138764" sId="1">
    <oc r="F56" t="inlineStr">
      <is>
        <t>FLL-PUJ-FLL</t>
      </is>
    </oc>
    <nc r="F56" t="inlineStr">
      <is>
        <t>PTY-PUJ-PTY</t>
      </is>
    </nc>
  </rcc>
  <rcc rId="138765" sId="1">
    <oc r="B57" t="inlineStr">
      <is>
        <t>AIR TRANSAT</t>
      </is>
    </oc>
    <nc r="B57" t="inlineStr">
      <is>
        <t>AMERICAN AIRLINES</t>
      </is>
    </nc>
  </rcc>
  <rcc rId="138766" sId="1">
    <oc r="C57" t="inlineStr">
      <is>
        <t>TSC 398/399</t>
      </is>
    </oc>
    <nc r="C57" t="inlineStr">
      <is>
        <t>AAL 2841/619</t>
      </is>
    </nc>
  </rcc>
  <rcc rId="138767" sId="1" numFmtId="23">
    <oc r="D57">
      <v>46158.572916666664</v>
    </oc>
    <nc r="D57">
      <v>46164.59097222222</v>
    </nc>
  </rcc>
  <rcc rId="138768" sId="1" numFmtId="23">
    <oc r="E57">
      <v>46158.628472222219</v>
    </oc>
    <nc r="E57">
      <v>46164.635416666664</v>
    </nc>
  </rcc>
  <rcc rId="138769" sId="1">
    <oc r="F57" t="inlineStr">
      <is>
        <t>YUL-PUJ-YUL</t>
      </is>
    </oc>
    <nc r="F57" t="inlineStr">
      <is>
        <t>ORD-PUJ-ORD</t>
      </is>
    </nc>
  </rcc>
  <rcc rId="138770" sId="1">
    <oc r="B58" t="inlineStr">
      <is>
        <t>AMERICAN AIRLINES</t>
      </is>
    </oc>
    <nc r="B58" t="inlineStr">
      <is>
        <t>FRONTIER AIRLINES</t>
      </is>
    </nc>
  </rcc>
  <rcc rId="138771" sId="1">
    <oc r="C58" t="inlineStr">
      <is>
        <t>AAL 2841/619</t>
      </is>
    </oc>
    <nc r="C58" t="inlineStr">
      <is>
        <t>FFT 25/24</t>
      </is>
    </nc>
  </rcc>
  <rcc rId="138772" sId="1" numFmtId="23">
    <oc r="D58">
      <v>46158.578472222223</v>
    </oc>
    <nc r="D58">
      <v>46164.6</v>
    </nc>
  </rcc>
  <rcc rId="138773" sId="1" numFmtId="23">
    <oc r="E58">
      <v>46158.620138888888</v>
    </oc>
    <nc r="E58">
      <v>46164.649305555555</v>
    </nc>
  </rcc>
  <rcc rId="138774" sId="1">
    <oc r="F58" t="inlineStr">
      <is>
        <t>ORD-PUJ-ORD</t>
      </is>
    </oc>
    <nc r="F58" t="inlineStr">
      <is>
        <t>ATL-PUJ-ATL</t>
      </is>
    </nc>
  </rcc>
  <rcc rId="138775" sId="1">
    <oc r="B59" t="inlineStr">
      <is>
        <t>AIR CANADA</t>
      </is>
    </oc>
    <nc r="B59" t="inlineStr">
      <is>
        <t>UNITED AIRLINES</t>
      </is>
    </nc>
  </rcc>
  <rcc rId="138776" sId="1">
    <oc r="C59" t="inlineStr">
      <is>
        <t>ACA 1790/1791</t>
      </is>
    </oc>
    <nc r="C59" t="inlineStr">
      <is>
        <t>UAL 1270/1614</t>
      </is>
    </nc>
  </rcc>
  <rcc rId="138777" sId="1" numFmtId="23">
    <oc r="D59">
      <v>46158.579861111109</v>
    </oc>
    <nc r="D59">
      <v>46164.602083333331</v>
    </nc>
  </rcc>
  <rcc rId="138778" sId="1" numFmtId="23">
    <oc r="E59">
      <v>46158.621527777781</v>
    </oc>
    <nc r="E59">
      <v>46164.649305555555</v>
    </nc>
  </rcc>
  <rcc rId="138779" sId="1">
    <oc r="F59" t="inlineStr">
      <is>
        <t>YUL-PUJ-YUL</t>
      </is>
    </oc>
    <nc r="F59" t="inlineStr">
      <is>
        <t>ORD-PUJ-IAD</t>
      </is>
    </nc>
  </rcc>
  <rcc rId="138780" sId="1">
    <oc r="B60" t="inlineStr">
      <is>
        <t>COPA AIRLINES</t>
      </is>
    </oc>
    <nc r="B60" t="inlineStr">
      <is>
        <t>TUI AIRWAYS</t>
      </is>
    </nc>
  </rcc>
  <rcc rId="138781" sId="1">
    <oc r="C60" t="inlineStr">
      <is>
        <t>CMP 375/376</t>
      </is>
    </oc>
    <nc r="C60" t="inlineStr">
      <is>
        <t>TOM 156/157</t>
      </is>
    </nc>
  </rcc>
  <rcc rId="138782" sId="1" numFmtId="23">
    <oc r="D60">
      <v>46158.583333333336</v>
    </oc>
    <nc r="D60">
      <v>46164.604166666664</v>
    </nc>
  </rcc>
  <rcc rId="138783" sId="1" numFmtId="23">
    <oc r="E60">
      <v>46158.631944444445</v>
    </oc>
    <nc r="E60">
      <v>46164.6875</v>
    </nc>
  </rcc>
  <rcc rId="138784" sId="1">
    <oc r="F60" t="inlineStr">
      <is>
        <t>PTY-PUJ-PTY</t>
      </is>
    </oc>
    <nc r="F60" t="inlineStr">
      <is>
        <t>MAN-PUJ-MAN</t>
      </is>
    </nc>
  </rcc>
  <rcc rId="138785" sId="1">
    <oc r="B61" t="inlineStr">
      <is>
        <t>WESTJET AIRLINES</t>
      </is>
    </oc>
    <nc r="B61" t="inlineStr">
      <is>
        <t>TUI AIRWAYS</t>
      </is>
    </nc>
  </rcc>
  <rcc rId="138786" sId="1">
    <oc r="C61" t="inlineStr">
      <is>
        <t>WJA 2100/2101</t>
      </is>
    </oc>
    <nc r="C61" t="inlineStr">
      <is>
        <t>TOM 568/569</t>
      </is>
    </nc>
  </rcc>
  <rcc rId="138787" sId="1" numFmtId="23">
    <oc r="D61">
      <v>46158.586805555555</v>
    </oc>
    <nc r="D61">
      <v>46164.604166666664</v>
    </nc>
  </rcc>
  <rcc rId="138788" sId="1" numFmtId="23">
    <oc r="E61">
      <v>46158.625</v>
    </oc>
    <nc r="E61">
      <v>46164.715277777781</v>
    </nc>
  </rcc>
  <rcc rId="138789" sId="1">
    <oc r="F61" t="inlineStr">
      <is>
        <t>YYZ-PUJ-YYZ</t>
      </is>
    </oc>
    <nc r="F61" t="inlineStr">
      <is>
        <t>BHX-PUJ-BHX</t>
      </is>
    </nc>
  </rcc>
  <rcc rId="138790" sId="1">
    <oc r="C62" t="inlineStr">
      <is>
        <t>WJA 2902/2913</t>
      </is>
    </oc>
    <nc r="C62" t="inlineStr">
      <is>
        <t>WJA 2700/2701</t>
      </is>
    </nc>
  </rcc>
  <rcc rId="138791" sId="1" numFmtId="23">
    <oc r="D62">
      <v>46158.590277777781</v>
    </oc>
    <nc r="D62">
      <v>46164.607638888891</v>
    </nc>
  </rcc>
  <rcc rId="138792" sId="1" numFmtId="23">
    <oc r="E62">
      <v>46158.628472222219</v>
    </oc>
    <nc r="E62">
      <v>46164.649305555555</v>
    </nc>
  </rcc>
  <rcc rId="138793" sId="1">
    <oc r="F62" t="inlineStr">
      <is>
        <t>YUL-PUJ-YUL</t>
      </is>
    </oc>
    <nc r="F62" t="inlineStr">
      <is>
        <t>YYZ-PUJ-YYZ</t>
      </is>
    </nc>
  </rcc>
  <rcc rId="138794" sId="1">
    <oc r="B63" t="inlineStr">
      <is>
        <t>LAN PERU</t>
      </is>
    </oc>
    <nc r="B63" t="inlineStr">
      <is>
        <t>DELTA AIRLINES</t>
      </is>
    </nc>
  </rcc>
  <rcc rId="138795" sId="1">
    <oc r="C63" t="inlineStr">
      <is>
        <t>LPE 2470/2475</t>
      </is>
    </oc>
    <nc r="C63" t="inlineStr">
      <is>
        <t>DAL 1916/1836</t>
      </is>
    </nc>
  </rcc>
  <rcc rId="138796" sId="1" numFmtId="23">
    <oc r="D63">
      <v>46158.590277777781</v>
    </oc>
    <nc r="D63">
      <v>46164.607638888891</v>
    </nc>
  </rcc>
  <rcc rId="138797" sId="1" numFmtId="23">
    <oc r="E63">
      <v>46158.635416666664</v>
    </oc>
    <nc r="E63">
      <v>46164.666666666664</v>
    </nc>
  </rcc>
  <rcc rId="138798" sId="1">
    <oc r="F63" t="inlineStr">
      <is>
        <t>LIM-PUJ-LIM</t>
      </is>
    </oc>
    <nc r="F63" t="inlineStr">
      <is>
        <t>ATL-PUJ-ATL</t>
      </is>
    </nc>
  </rcc>
  <rcc rId="138799" sId="1">
    <oc r="B64" t="inlineStr">
      <is>
        <t>SOUTHWEST AIRLINES</t>
      </is>
    </oc>
    <nc r="B64" t="inlineStr">
      <is>
        <t>UNITED AIRLINES</t>
      </is>
    </nc>
  </rcc>
  <rcc rId="138800" sId="1">
    <oc r="C64" t="inlineStr">
      <is>
        <t>SWA 821/783</t>
      </is>
    </oc>
    <nc r="C64" t="inlineStr">
      <is>
        <t>UAL 2122/1284</t>
      </is>
    </nc>
  </rcc>
  <rcc rId="138801" sId="1" numFmtId="23">
    <oc r="D64">
      <v>46158.59375</v>
    </oc>
    <nc r="D64">
      <v>46164.616666666669</v>
    </nc>
  </rcc>
  <rcc rId="138802" sId="1" numFmtId="23">
    <oc r="E64">
      <v>46158.631944444445</v>
    </oc>
    <nc r="E64">
      <v>46164.666666666664</v>
    </nc>
  </rcc>
  <rcc rId="138803" sId="1">
    <oc r="F64" t="inlineStr">
      <is>
        <t>BWI-PUJ-MCO</t>
      </is>
    </oc>
    <nc r="F64" t="inlineStr">
      <is>
        <t>EWR-PUJ-IAH</t>
      </is>
    </nc>
  </rcc>
  <rcc rId="138804" sId="1">
    <oc r="B65" t="inlineStr">
      <is>
        <t>FRONTIER AIRLINES</t>
      </is>
    </oc>
    <nc r="B65" t="inlineStr">
      <is>
        <t>SOUTHWEST AIRLINES</t>
      </is>
    </nc>
  </rcc>
  <rcc rId="138805" sId="1">
    <oc r="C65" t="inlineStr">
      <is>
        <t>FFT 25/24</t>
      </is>
    </oc>
    <nc r="C65" t="inlineStr">
      <is>
        <t>SWA 821/822</t>
      </is>
    </nc>
  </rcc>
  <rcc rId="138806" sId="1" numFmtId="23">
    <oc r="D65">
      <v>46158.6</v>
    </oc>
    <nc r="D65">
      <v>46164.625</v>
    </nc>
  </rcc>
  <rcc rId="138807" sId="1" numFmtId="23">
    <oc r="E65">
      <v>46158.649305555555</v>
    </oc>
    <nc r="E65">
      <v>46164.666666666664</v>
    </nc>
  </rcc>
  <rcc rId="138808" sId="1">
    <oc r="F65" t="inlineStr">
      <is>
        <t>ATL-PUJ-ATL</t>
      </is>
    </oc>
    <nc r="F65" t="inlineStr">
      <is>
        <t>BWI-PUJ-BWI</t>
      </is>
    </nc>
  </rcc>
  <rcc rId="138809" sId="1">
    <oc r="B66" t="inlineStr">
      <is>
        <t>FLAIR AIRLINES</t>
      </is>
    </oc>
    <nc r="B66" t="inlineStr">
      <is>
        <t>RUTACA AIRLINES</t>
      </is>
    </nc>
  </rcc>
  <rcc rId="138810" sId="1">
    <oc r="C66" t="inlineStr">
      <is>
        <t>FLE 2634/2635</t>
      </is>
    </oc>
    <nc r="C66" t="inlineStr">
      <is>
        <t>RUC 2230/2231</t>
      </is>
    </nc>
  </rcc>
  <rcc rId="138811" sId="1" numFmtId="23">
    <oc r="D66">
      <v>46158.600694444445</v>
    </oc>
    <nc r="D66">
      <v>46164.625</v>
    </nc>
  </rcc>
  <rcc rId="138812" sId="1" numFmtId="23">
    <oc r="E66">
      <v>46158.663194444445</v>
    </oc>
    <nc r="E66">
      <v>46164.666666666664</v>
    </nc>
  </rcc>
  <rcc rId="138813" sId="1">
    <oc r="F66" t="inlineStr">
      <is>
        <t>YYZ-PUJ-YYZ</t>
      </is>
    </oc>
    <nc r="F66" t="inlineStr">
      <is>
        <t>SCU-PUJ-VLN</t>
      </is>
    </nc>
  </rcc>
  <rcc rId="138814" sId="1">
    <oc r="C67" t="inlineStr">
      <is>
        <t>AAL 2337/1363</t>
      </is>
    </oc>
    <nc r="C67" t="inlineStr">
      <is>
        <t>AAL 1070/845</t>
      </is>
    </nc>
  </rcc>
  <rcc rId="138815" sId="1" numFmtId="23">
    <oc r="D67">
      <v>46158.606944444444</v>
    </oc>
    <nc r="D67">
      <v>46164.629166666666</v>
    </nc>
  </rcc>
  <rcc rId="138816" sId="1" numFmtId="23">
    <oc r="E67">
      <v>46158.648611111108</v>
    </oc>
    <nc r="E67">
      <v>46164.67083333333</v>
    </nc>
  </rcc>
  <rcc rId="138817" sId="1">
    <oc r="F67" t="inlineStr">
      <is>
        <t>MIA-PUJ-DFW</t>
      </is>
    </oc>
    <nc r="F67" t="inlineStr">
      <is>
        <t>PHL-PUJ-PHL</t>
      </is>
    </nc>
  </rcc>
  <rcc rId="138818" sId="1">
    <oc r="B68" t="inlineStr">
      <is>
        <t>DELTA AIRLINES</t>
      </is>
    </oc>
    <nc r="B68" t="inlineStr">
      <is>
        <t>AMERICAN AIRLINES</t>
      </is>
    </nc>
  </rcc>
  <rcc rId="138819" sId="1">
    <oc r="C68" t="inlineStr">
      <is>
        <t>DAL 1916/1836</t>
      </is>
    </oc>
    <nc r="C68" t="inlineStr">
      <is>
        <t>AAL 1292/1292</t>
      </is>
    </nc>
  </rcc>
  <rcc rId="138820" sId="1" numFmtId="23">
    <oc r="D68">
      <v>46158.607638888891</v>
    </oc>
    <nc r="D68">
      <v>46164.630555555559</v>
    </nc>
  </rcc>
  <rcc rId="138821" sId="1" numFmtId="23">
    <oc r="E68">
      <v>46158.666666666664</v>
    </oc>
    <nc r="E68">
      <v>46164.672222222223</v>
    </nc>
  </rcc>
  <rcc rId="138822" sId="1">
    <oc r="F68" t="inlineStr">
      <is>
        <t>ATL-PUJ-ATL</t>
      </is>
    </oc>
    <nc r="F68" t="inlineStr">
      <is>
        <t>CLT-PUJ-CLT</t>
      </is>
    </nc>
  </rcc>
  <rcc rId="138823" sId="1">
    <oc r="C69" t="inlineStr">
      <is>
        <t>JBU 1095/1296</t>
      </is>
    </oc>
    <nc r="C69" t="inlineStr">
      <is>
        <t>JBU 2031/2132</t>
      </is>
    </nc>
  </rcc>
  <rcc rId="138824" sId="1" numFmtId="23">
    <oc r="D69">
      <v>46158.612500000003</v>
    </oc>
    <nc r="D69">
      <v>46164.634722222225</v>
    </nc>
  </rcc>
  <rcc rId="138825" sId="1" numFmtId="23">
    <oc r="E69">
      <v>46158.668055555558</v>
    </oc>
    <nc r="E69">
      <v>46164.679861111108</v>
    </nc>
  </rcc>
  <rcc rId="138826" sId="1">
    <oc r="F69" t="inlineStr">
      <is>
        <t>BOS-PUJ-BOS</t>
      </is>
    </oc>
    <nc r="F69" t="inlineStr">
      <is>
        <t>SJU-PUJ-SJU</t>
      </is>
    </nc>
  </rcc>
  <rcc rId="138827" sId="1">
    <oc r="C70" t="inlineStr">
      <is>
        <t>AAL 3130/2700</t>
      </is>
    </oc>
    <nc r="C70" t="inlineStr">
      <is>
        <t>AAL 2517/2517</t>
      </is>
    </nc>
  </rcc>
  <rcc rId="138828" sId="1" numFmtId="23">
    <oc r="D70">
      <v>46158.614583333336</v>
    </oc>
    <nc r="D70">
      <v>46164.635416666664</v>
    </nc>
  </rcc>
  <rcc rId="138829" sId="1" numFmtId="23">
    <oc r="E70">
      <v>46158.658333333333</v>
    </oc>
    <nc r="E70">
      <v>46164.677083333336</v>
    </nc>
  </rcc>
  <rcc rId="138830" sId="1">
    <oc r="F70" t="inlineStr">
      <is>
        <t>BOS-PUJ-BOS</t>
      </is>
    </oc>
    <nc r="F70" t="inlineStr">
      <is>
        <t>MIA-PUJ-MIA</t>
      </is>
    </nc>
  </rcc>
  <rcc rId="138831" sId="1">
    <oc r="B71" t="inlineStr">
      <is>
        <t>TUI AIRWAYS</t>
      </is>
    </oc>
    <nc r="B71" t="inlineStr">
      <is>
        <t>LAN PERU</t>
      </is>
    </nc>
  </rcc>
  <rcc rId="138832" sId="1">
    <oc r="C71" t="inlineStr">
      <is>
        <t>TOM 134/135</t>
      </is>
    </oc>
    <nc r="C71" t="inlineStr">
      <is>
        <t>LPE 2452/2453</t>
      </is>
    </nc>
  </rcc>
  <rcc rId="138833" sId="1" numFmtId="23">
    <oc r="D71">
      <v>46158.614583333336</v>
    </oc>
    <nc r="D71">
      <v>46164.638888888891</v>
    </nc>
  </rcc>
  <rcc rId="138834" sId="1" numFmtId="23">
    <oc r="E71">
      <v>46158.697916666664</v>
    </oc>
    <nc r="E71">
      <v>46164.725694444445</v>
    </nc>
  </rcc>
  <rcc rId="138835" sId="1">
    <oc r="F71" t="inlineStr">
      <is>
        <t>MAN-PUJ-MAN</t>
      </is>
    </oc>
    <nc r="F71" t="inlineStr">
      <is>
        <t>LIM-PUJ-LIM</t>
      </is>
    </nc>
  </rcc>
  <rcc rId="138836" sId="1">
    <oc r="B72" t="inlineStr">
      <is>
        <t>SOUTHWEST AIRLINES</t>
      </is>
    </oc>
    <nc r="B72" t="inlineStr">
      <is>
        <t>AIR CANADA</t>
      </is>
    </nc>
  </rcc>
  <rcc rId="138837" sId="1">
    <oc r="C72" t="inlineStr">
      <is>
        <t>SWA 1154/812</t>
      </is>
    </oc>
    <nc r="C72" t="inlineStr">
      <is>
        <t>ACA 1794/1795</t>
      </is>
    </nc>
  </rcc>
  <rcc rId="138838" sId="1" numFmtId="23">
    <oc r="D72">
      <v>46158.618055555555</v>
    </oc>
    <nc r="D72">
      <v>46164.638888888891</v>
    </nc>
  </rcc>
  <rcc rId="138839" sId="1" numFmtId="23">
    <oc r="E72">
      <v>46158.65625</v>
    </oc>
    <nc r="E72">
      <v>46164.684027777781</v>
    </nc>
  </rcc>
  <rcc rId="138840" sId="1">
    <oc r="F72" t="inlineStr">
      <is>
        <t>BNA-PUJ-BWI</t>
      </is>
    </oc>
    <nc r="F72" t="inlineStr">
      <is>
        <t>YYZ-PUJ-YYZ</t>
      </is>
    </nc>
  </rcc>
  <rcc rId="138841" sId="1">
    <oc r="B73" t="inlineStr">
      <is>
        <t>AMERICAN AIRLINES</t>
      </is>
    </oc>
    <nc r="B73" t="inlineStr">
      <is>
        <t>AIR CARAIBES</t>
      </is>
    </nc>
  </rcc>
  <rcc rId="138842" sId="1">
    <oc r="C73" t="inlineStr">
      <is>
        <t>AAL 2790/477</t>
      </is>
    </oc>
    <nc r="C73" t="inlineStr">
      <is>
        <t>FWI 606/607</t>
      </is>
    </nc>
  </rcc>
  <rcc rId="138843" sId="1" numFmtId="23">
    <oc r="D73">
      <v>46158.618055555555</v>
    </oc>
    <nc r="D73">
      <v>46164.642361111109</v>
    </nc>
  </rcc>
  <rcc rId="138844" sId="1" numFmtId="23">
    <oc r="E73">
      <v>46158.659722222219</v>
    </oc>
    <nc r="E73">
      <v>46164.743055555555</v>
    </nc>
  </rcc>
  <rcc rId="138845" sId="1">
    <oc r="F73" t="inlineStr">
      <is>
        <t>CLT-PUJ-PHL</t>
      </is>
    </oc>
    <nc r="F73" t="inlineStr">
      <is>
        <t>ORY-PUJ-ORY</t>
      </is>
    </nc>
  </rcc>
  <rcc rId="138846" sId="1">
    <oc r="B74" t="inlineStr">
      <is>
        <t>JETBLUE AIRWAYS</t>
      </is>
    </oc>
    <nc r="B74" t="inlineStr">
      <is>
        <t>FRONTIER AIRLINES</t>
      </is>
    </nc>
  </rcc>
  <rcc rId="138847" sId="1">
    <oc r="C74" t="inlineStr">
      <is>
        <t>JBU 1169/1168</t>
      </is>
    </oc>
    <nc r="C74" t="inlineStr">
      <is>
        <t>FFT 6/38</t>
      </is>
    </nc>
  </rcc>
  <rcc rId="138848" sId="1" numFmtId="23">
    <oc r="D74">
      <v>46158.619444444441</v>
    </oc>
    <nc r="D74">
      <v>46164.643750000003</v>
    </nc>
  </rcc>
  <rcc rId="138849" sId="1" numFmtId="23">
    <oc r="E74">
      <v>46158.664583333331</v>
    </oc>
    <nc r="E74">
      <v>46164.692361111112</v>
    </nc>
  </rcc>
  <rcc rId="138850" sId="1">
    <oc r="F74" t="inlineStr">
      <is>
        <t>JFK-PUJ-JFK</t>
      </is>
    </oc>
    <nc r="F74" t="inlineStr">
      <is>
        <t>STL-PUJ-SJU</t>
      </is>
    </nc>
  </rcc>
  <rcc rId="138851" sId="1">
    <oc r="B75" t="inlineStr">
      <is>
        <t>ARAJET</t>
      </is>
    </oc>
    <nc r="B75" t="inlineStr">
      <is>
        <t>UNITED AIRLINES</t>
      </is>
    </nc>
  </rcc>
  <rcc rId="138852" sId="1">
    <oc r="C75" t="inlineStr">
      <is>
        <t>DWI 6267/6206</t>
      </is>
    </oc>
    <nc r="C75" t="inlineStr">
      <is>
        <t>UAL 420/1526</t>
      </is>
    </nc>
  </rcc>
  <rcc rId="138853" sId="1" numFmtId="23">
    <oc r="D75">
      <v>46158.621527777781</v>
    </oc>
    <nc r="D75">
      <v>46164.645833333336</v>
    </nc>
  </rcc>
  <rcc rId="138854" sId="1" numFmtId="23">
    <oc r="E75">
      <v>46158.697916666664</v>
    </oc>
    <nc r="E75">
      <v>46164.694444444445</v>
    </nc>
  </rcc>
  <rcc rId="138855" sId="1">
    <oc r="F75" t="inlineStr">
      <is>
        <t>EZE-PUJ-EZE</t>
      </is>
    </oc>
    <nc r="F75" t="inlineStr">
      <is>
        <t>IAH-PUJ-EWR</t>
      </is>
    </nc>
  </rcc>
  <rcc rId="138856" sId="1">
    <oc r="B76" t="inlineStr">
      <is>
        <t>SOUTHWEST AIRLINES</t>
      </is>
    </oc>
    <nc r="B76" t="inlineStr">
      <is>
        <t>AEROMEXICO</t>
      </is>
    </nc>
  </rcc>
  <rcc rId="138857" sId="1">
    <oc r="C76" t="inlineStr">
      <is>
        <t>SWA 2682/1736</t>
      </is>
    </oc>
    <nc r="C76" t="inlineStr">
      <is>
        <t>AMX 460/461</t>
      </is>
    </nc>
  </rcc>
  <rcc rId="138858" sId="1" numFmtId="23">
    <oc r="D76">
      <v>46158.625</v>
    </oc>
    <nc r="D76">
      <v>46164.645833333336</v>
    </nc>
  </rcc>
  <rcc rId="138859" sId="1" numFmtId="23">
    <oc r="E76">
      <v>46158.666666666664</v>
    </oc>
    <nc r="E76">
      <v>46164.704861111109</v>
    </nc>
  </rcc>
  <rcc rId="138860" sId="1">
    <oc r="F76" t="inlineStr">
      <is>
        <t>MDW-PUJ-BNA</t>
      </is>
    </oc>
    <nc r="F76" t="inlineStr">
      <is>
        <t>MEX-PUJ-MEX</t>
      </is>
    </nc>
  </rcc>
  <rcc rId="138861" sId="1">
    <oc r="B77" t="inlineStr">
      <is>
        <t>TUI AIRWAYS</t>
      </is>
    </oc>
    <nc r="B77" t="inlineStr">
      <is>
        <t>AMERICAN AIRLINES</t>
      </is>
    </nc>
  </rcc>
  <rcc rId="138862" sId="1">
    <oc r="C77" t="inlineStr">
      <is>
        <t>TOM 056/057</t>
      </is>
    </oc>
    <nc r="C77" t="inlineStr">
      <is>
        <t>AAL 973/2790</t>
      </is>
    </nc>
  </rcc>
  <rcc rId="138863" sId="1" numFmtId="23">
    <oc r="D77">
      <v>46158.628472222219</v>
    </oc>
    <nc r="D77">
      <v>46164.65625</v>
    </nc>
  </rcc>
  <rcc rId="138864" sId="1" numFmtId="23">
    <oc r="E77">
      <v>46158.729166666664</v>
    </oc>
    <nc r="E77">
      <v>46164.70208333333</v>
    </nc>
  </rcc>
  <rcc rId="138865" sId="1">
    <oc r="F77" t="inlineStr">
      <is>
        <t>LGW-PUJ-LGW</t>
      </is>
    </oc>
    <nc r="F77" t="inlineStr">
      <is>
        <t>CLT-PUJ-CLT</t>
      </is>
    </nc>
  </rcc>
  <rcc rId="138866" sId="1">
    <oc r="B78" t="inlineStr">
      <is>
        <t>BRITISH AIRWAYS</t>
      </is>
    </oc>
    <nc r="B78" t="inlineStr">
      <is>
        <t>JETBLUE AIRWAYS</t>
      </is>
    </nc>
  </rcc>
  <rcc rId="138867" sId="1">
    <oc r="C78" t="inlineStr">
      <is>
        <t>BAW 2205/2204</t>
      </is>
    </oc>
    <nc r="C78" t="inlineStr">
      <is>
        <t>JBU 2077/2078</t>
      </is>
    </nc>
  </rcc>
  <rcc rId="138868" sId="1" numFmtId="23">
    <oc r="D78">
      <v>46158.631944444445</v>
    </oc>
    <nc r="D78">
      <v>46164.665972222225</v>
    </nc>
  </rcc>
  <rcc rId="138869" sId="1" numFmtId="23">
    <oc r="E78">
      <v>46158.711805555555</v>
    </oc>
    <nc r="E78">
      <v>46164.711111111108</v>
    </nc>
  </rcc>
  <rcc rId="138870" sId="1">
    <oc r="F78" t="inlineStr">
      <is>
        <t>LGW-PUJ-LGW</t>
      </is>
    </oc>
    <nc r="F78" t="inlineStr">
      <is>
        <t>MCO-PUJ-MCO</t>
      </is>
    </nc>
  </rcc>
  <rcc rId="138871" sId="1">
    <oc r="B79" t="inlineStr">
      <is>
        <t>UNITED AIRLINES</t>
      </is>
    </oc>
    <nc r="B79" t="inlineStr">
      <is>
        <t>COPA AIRLINES</t>
      </is>
    </nc>
  </rcc>
  <rcc rId="138872" sId="1">
    <oc r="C79" t="inlineStr">
      <is>
        <t>UAL 1270/1526</t>
      </is>
    </oc>
    <nc r="C79" t="inlineStr">
      <is>
        <t>CMP 748/749</t>
      </is>
    </nc>
  </rcc>
  <rcc rId="138873" sId="1" numFmtId="23">
    <oc r="D79">
      <v>46158.633333333331</v>
    </oc>
    <nc r="D79">
      <v>46164.666666666664</v>
    </nc>
  </rcc>
  <rcc rId="138874" sId="1" numFmtId="23">
    <oc r="E79">
      <v>46158.679861111108</v>
    </oc>
    <nc r="E79">
      <v>46164.745833333334</v>
    </nc>
  </rcc>
  <rcc rId="138875" sId="1">
    <oc r="F79" t="inlineStr">
      <is>
        <t>ORD-PUJ-EWR</t>
      </is>
    </oc>
    <nc r="F79" t="inlineStr">
      <is>
        <t>PTY-PUJ-PTY</t>
      </is>
    </nc>
  </rcc>
  <rcc rId="138876" sId="1">
    <oc r="B80" t="inlineStr">
      <is>
        <t>AIR CANADA</t>
      </is>
    </oc>
    <nc r="B80" t="inlineStr">
      <is>
        <t>AMERICAN AIRLINES</t>
      </is>
    </nc>
  </rcc>
  <rcc rId="138877" sId="1">
    <oc r="C80" t="inlineStr">
      <is>
        <t>ACA 1794/1795</t>
      </is>
    </oc>
    <nc r="C80" t="inlineStr">
      <is>
        <t>AAL 503/1037</t>
      </is>
    </nc>
  </rcc>
  <rcc rId="138878" sId="1" numFmtId="23">
    <oc r="D80">
      <v>46158.638888888891</v>
    </oc>
    <nc r="D80">
      <v>46164.669444444444</v>
    </nc>
  </rcc>
  <rcc rId="138879" sId="1" numFmtId="23">
    <oc r="E80">
      <v>46158.684027777781</v>
    </oc>
    <nc r="E80">
      <v>46164.711111111108</v>
    </nc>
  </rcc>
  <rcc rId="138880" sId="1">
    <oc r="F80" t="inlineStr">
      <is>
        <t>YYZ-PUJ-YYZ</t>
      </is>
    </oc>
    <nc r="F80" t="inlineStr">
      <is>
        <t>DFW-PUJ-DFW</t>
      </is>
    </nc>
  </rcc>
  <rcc rId="138881" sId="1">
    <oc r="B81" t="inlineStr">
      <is>
        <t>LAN PERU</t>
      </is>
    </oc>
    <nc r="B81" t="inlineStr">
      <is>
        <t>LAN CHILE</t>
      </is>
    </nc>
  </rcc>
  <rcc rId="138882" sId="1">
    <oc r="C81" t="inlineStr">
      <is>
        <t>LPE 2452/2453</t>
      </is>
    </oc>
    <nc r="C81" t="inlineStr">
      <is>
        <t>LAN 592/592</t>
      </is>
    </nc>
  </rcc>
  <rcc rId="138883" sId="1" numFmtId="23">
    <oc r="D81">
      <v>46158.638888888891</v>
    </oc>
    <nc r="D81">
      <v>46164.680555555555</v>
    </nc>
  </rcc>
  <rcc rId="138884" sId="1" numFmtId="23">
    <oc r="E81">
      <v>46158.725694444445</v>
    </oc>
    <nc r="E81">
      <v>46164.743055555555</v>
    </nc>
  </rcc>
  <rcc rId="138885" sId="1">
    <oc r="F81" t="inlineStr">
      <is>
        <t>LIM-PUJ-LIM</t>
      </is>
    </oc>
    <nc r="F81" t="inlineStr">
      <is>
        <t>SCL-PUJ-MIA</t>
      </is>
    </nc>
  </rcc>
  <rcc rId="138886" sId="1">
    <oc r="B82" t="inlineStr">
      <is>
        <t>AMERICAN AIRLINES</t>
      </is>
    </oc>
    <nc r="B82" t="inlineStr">
      <is>
        <t>SKY AIRLINE PERÚ</t>
      </is>
    </nc>
  </rcc>
  <rcc rId="138887" sId="1">
    <oc r="C82" t="inlineStr">
      <is>
        <t>AAL 2868/1985</t>
      </is>
    </oc>
    <nc r="C82" t="inlineStr">
      <is>
        <t>SKX 5580/5581</t>
      </is>
    </nc>
  </rcc>
  <rcc rId="138888" sId="1" numFmtId="23">
    <oc r="D82">
      <v>46158.64166666667</v>
    </oc>
    <nc r="D82">
      <v>46164.680555555555</v>
    </nc>
  </rcc>
  <rcc rId="138889" sId="1" numFmtId="23">
    <oc r="E82">
      <v>46158.6875</v>
    </oc>
    <nc r="E82">
      <v>46164.729166666664</v>
    </nc>
  </rcc>
  <rcc rId="138890" sId="1">
    <oc r="F82" t="inlineStr">
      <is>
        <t>ORD-PUJ-CLT</t>
      </is>
    </oc>
    <nc r="F82" t="inlineStr">
      <is>
        <t>LIM-PUJ-LIM</t>
      </is>
    </nc>
  </rcc>
  <rcc rId="138891" sId="1">
    <oc r="B83" t="inlineStr">
      <is>
        <t>AIR CARAIBES</t>
      </is>
    </oc>
    <nc r="B83" t="inlineStr">
      <is>
        <t>JETBLUE AIRWAYS</t>
      </is>
    </nc>
  </rcc>
  <rcc rId="138892" sId="1">
    <oc r="C83" t="inlineStr">
      <is>
        <t>FWI 606/607</t>
      </is>
    </oc>
    <nc r="C83" t="inlineStr">
      <is>
        <t>JBU 2940/2941</t>
      </is>
    </nc>
  </rcc>
  <rcc rId="138893" sId="1" numFmtId="23">
    <oc r="D83">
      <v>46158.642361111109</v>
    </oc>
    <nc r="D83">
      <v>46164.68472222222</v>
    </nc>
  </rcc>
  <rcc rId="138894" sId="1" numFmtId="23">
    <oc r="E83">
      <v>46158.743055555555</v>
    </oc>
    <nc r="E83">
      <v>46164.729861111111</v>
    </nc>
  </rcc>
  <rcc rId="138895" sId="1">
    <oc r="F83" t="inlineStr">
      <is>
        <t>ORY-PUJ-ORY</t>
      </is>
    </oc>
    <nc r="F83" t="inlineStr">
      <is>
        <t>SJU-PUJ-SJU</t>
      </is>
    </nc>
  </rcc>
  <rcc rId="138896" sId="1">
    <oc r="B84" t="inlineStr">
      <is>
        <t>FRONTIER AIRLINES</t>
      </is>
    </oc>
    <nc r="B84" t="inlineStr">
      <is>
        <t>JETBLUE AIRWAYS</t>
      </is>
    </nc>
  </rcc>
  <rcc rId="138897" sId="1">
    <oc r="C84" t="inlineStr">
      <is>
        <t>FFT 6/238</t>
      </is>
    </oc>
    <nc r="C84" t="inlineStr">
      <is>
        <t>JBU 1595/1596</t>
      </is>
    </nc>
  </rcc>
  <rcc rId="138898" sId="1" numFmtId="23">
    <oc r="D84">
      <v>46158.643750000003</v>
    </oc>
    <nc r="D84">
      <v>46164.693749999999</v>
    </nc>
  </rcc>
  <rcc rId="138899" sId="1" numFmtId="23">
    <oc r="E84">
      <v>46158.692361111112</v>
    </oc>
    <nc r="E84">
      <v>46164.738888888889</v>
    </nc>
  </rcc>
  <rcc rId="138900" sId="1">
    <oc r="F84" t="inlineStr">
      <is>
        <t>STL-PUJ-SJU</t>
      </is>
    </oc>
    <nc r="F84" t="inlineStr">
      <is>
        <t>BOS-PUJ-BOS</t>
      </is>
    </nc>
  </rcc>
  <rcc rId="138901" sId="1">
    <oc r="B85" t="inlineStr">
      <is>
        <t>AEROMEXICO</t>
      </is>
    </oc>
    <nc r="B85" t="inlineStr">
      <is>
        <t>AVIANCA</t>
      </is>
    </nc>
  </rcc>
  <rcc rId="138902" sId="1">
    <oc r="C85" t="inlineStr">
      <is>
        <t>AMX 460/461</t>
      </is>
    </oc>
    <nc r="C85" t="inlineStr">
      <is>
        <t>AVA 252/253</t>
      </is>
    </nc>
  </rcc>
  <rcc rId="138903" sId="1" numFmtId="23">
    <oc r="D85">
      <v>46158.645833333336</v>
    </oc>
    <nc r="D85">
      <v>46164.697916666664</v>
    </nc>
  </rcc>
  <rcc rId="138904" sId="1" numFmtId="23">
    <oc r="E85">
      <v>46158.704861111109</v>
    </oc>
    <nc r="E85">
      <v>46164.75</v>
    </nc>
  </rcc>
  <rcc rId="138905" sId="1">
    <oc r="F85" t="inlineStr">
      <is>
        <t>MEX-PUJ-MEX</t>
      </is>
    </oc>
    <nc r="F85" t="inlineStr">
      <is>
        <t>BOG-PUJ-BOG</t>
      </is>
    </nc>
  </rcc>
  <rcc rId="138906" sId="1">
    <oc r="B86" t="inlineStr">
      <is>
        <t>UNITED AIRLINES</t>
      </is>
    </oc>
    <nc r="B86" t="inlineStr">
      <is>
        <t>AMERICAN AIRLINES</t>
      </is>
    </nc>
  </rcc>
  <rcc rId="138907" sId="1">
    <oc r="C86" t="inlineStr">
      <is>
        <t>UAL 420/1614</t>
      </is>
    </oc>
    <nc r="C86" t="inlineStr">
      <is>
        <t>AAL 2638/2638</t>
      </is>
    </nc>
  </rcc>
  <rcc rId="138908" sId="1" numFmtId="23">
    <oc r="D86">
      <v>46158.645833333336</v>
    </oc>
    <nc r="D86">
      <v>46164.7</v>
    </nc>
  </rcc>
  <rcc rId="138909" sId="1" numFmtId="23">
    <oc r="E86">
      <v>46158.694444444445</v>
    </oc>
    <nc r="E86">
      <v>46164.741666666669</v>
    </nc>
  </rcc>
  <rcc rId="138910" sId="1">
    <oc r="F86" t="inlineStr">
      <is>
        <t>IAH-PUJ-IAD</t>
      </is>
    </oc>
    <nc r="F86" t="inlineStr">
      <is>
        <t>MIA-PUJ-MIA</t>
      </is>
    </nc>
  </rcc>
  <rcc rId="138911" sId="1">
    <oc r="B87" t="inlineStr">
      <is>
        <t>JETBLUE AIRWAYS</t>
      </is>
    </oc>
    <nc r="B87" t="inlineStr">
      <is>
        <t>AEROLINEAS ARGENTINAS</t>
      </is>
    </nc>
  </rcc>
  <rcc rId="138912" sId="1">
    <oc r="C87" t="inlineStr">
      <is>
        <t>JBU 1809/1778</t>
      </is>
    </oc>
    <nc r="C87" t="inlineStr">
      <is>
        <t>ARG 1328/1329</t>
      </is>
    </nc>
  </rcc>
  <rcc rId="138913" sId="1" numFmtId="23">
    <oc r="D87">
      <v>46158.652777777781</v>
    </oc>
    <nc r="D87">
      <v>46164.701388888891</v>
    </nc>
  </rcc>
  <rcc rId="138914" sId="1" numFmtId="23">
    <oc r="E87">
      <v>46158.697916666664</v>
    </oc>
    <nc r="E87">
      <v>46164.805555555555</v>
    </nc>
  </rcc>
  <rcc rId="138915" sId="1">
    <oc r="F87" t="inlineStr">
      <is>
        <t>MCO-PUJ-MCO</t>
      </is>
    </oc>
    <nc r="F87" t="inlineStr">
      <is>
        <t>EZE, TUC-PUJ-TUC, EZE</t>
      </is>
    </nc>
  </rcc>
  <rcc rId="138916" sId="1">
    <oc r="B88" t="inlineStr">
      <is>
        <t>DELTA AIRLINES</t>
      </is>
    </oc>
    <nc r="B88" t="inlineStr">
      <is>
        <t>EDELWEISS AIR</t>
      </is>
    </nc>
  </rcc>
  <rcc rId="138917" sId="1">
    <oc r="C88" t="inlineStr">
      <is>
        <t>DAL 1832/1834</t>
      </is>
    </oc>
    <nc r="C88" t="inlineStr">
      <is>
        <t>EDW 034/035</t>
      </is>
    </nc>
  </rcc>
  <rcc rId="138918" sId="1" numFmtId="23">
    <oc r="D88">
      <v>46158.652777777781</v>
    </oc>
    <nc r="D88">
      <v>46164.725694444445</v>
    </nc>
  </rcc>
  <rcc rId="138919" sId="1" numFmtId="23">
    <oc r="E88">
      <v>46158.711805555555</v>
    </oc>
    <nc r="E88">
      <v>46164.826388888891</v>
    </nc>
  </rcc>
  <rcc rId="138920" sId="1">
    <oc r="F88" t="inlineStr">
      <is>
        <t>ATL-PUJ-ATL</t>
      </is>
    </oc>
    <nc r="F88" t="inlineStr">
      <is>
        <t>ZRH-PUJ-ZRH</t>
      </is>
    </nc>
  </rcc>
  <rcc rId="138921" sId="1">
    <oc r="B89" t="inlineStr">
      <is>
        <t>DISCOVER AIRLINES</t>
      </is>
    </oc>
    <nc r="B89" t="inlineStr">
      <is>
        <t>AVIANCA</t>
      </is>
    </nc>
  </rcc>
  <rcc rId="138922" sId="1">
    <oc r="C89" t="inlineStr">
      <is>
        <t>OCN 002/003</t>
      </is>
    </oc>
    <nc r="C89" t="inlineStr">
      <is>
        <t>AVA 136/137</t>
      </is>
    </nc>
  </rcc>
  <rcc rId="138923" sId="1" numFmtId="23">
    <oc r="D89">
      <v>46158.666666666664</v>
    </oc>
    <nc r="D89">
      <v>46164.725694444445</v>
    </nc>
  </rcc>
  <rcc rId="138924" sId="1" numFmtId="23">
    <oc r="E89">
      <v>46158.743055555555</v>
    </oc>
    <nc r="E89">
      <v>46164.774305555555</v>
    </nc>
  </rcc>
  <rcc rId="138925" sId="1">
    <oc r="F89" t="inlineStr">
      <is>
        <t>FRA-PUJ-FRA</t>
      </is>
    </oc>
    <nc r="F89" t="inlineStr">
      <is>
        <t>BOG-PUJ-BOG</t>
      </is>
    </nc>
  </rcc>
  <rcc rId="138926" sId="1">
    <oc r="B90" t="inlineStr">
      <is>
        <t>COPA AIRLINES</t>
      </is>
    </oc>
    <nc r="B90" t="inlineStr">
      <is>
        <t>LAN PERU</t>
      </is>
    </nc>
  </rcc>
  <rcc rId="138927" sId="1">
    <oc r="C90" t="inlineStr">
      <is>
        <t>CMP 748/749</t>
      </is>
    </oc>
    <nc r="C90" t="inlineStr">
      <is>
        <t>LPE 2460/2461</t>
      </is>
    </nc>
  </rcc>
  <rcc rId="138928" sId="1" numFmtId="23">
    <oc r="D90">
      <v>46158.666666666664</v>
    </oc>
    <nc r="D90">
      <v>46164.729166666664</v>
    </nc>
  </rcc>
  <rcc rId="138929" sId="1" numFmtId="23">
    <oc r="E90">
      <v>46158.745833333334</v>
    </oc>
    <nc r="E90">
      <v>46164.777777777781</v>
    </nc>
  </rcc>
  <rcc rId="138930" sId="1">
    <oc r="F90" t="inlineStr">
      <is>
        <t>PTY-PUJ-PTY</t>
      </is>
    </oc>
    <nc r="F90" t="inlineStr">
      <is>
        <t>LIM-PUJ-LIM</t>
      </is>
    </nc>
  </rcc>
  <rcc rId="138931" sId="1">
    <oc r="B91" t="inlineStr">
      <is>
        <t>JETBLUE AIRWAYS</t>
      </is>
    </oc>
    <nc r="B91" t="inlineStr">
      <is>
        <t>COPA AIRLINES</t>
      </is>
    </nc>
  </rcc>
  <rcc rId="138932" sId="1">
    <oc r="C91" t="inlineStr">
      <is>
        <t>JBU 2931/2932</t>
      </is>
    </oc>
    <nc r="C91" t="inlineStr">
      <is>
        <t>CMP 352/351</t>
      </is>
    </nc>
  </rcc>
  <rcc rId="138933" sId="1" numFmtId="23">
    <oc r="D91">
      <v>46158.679166666669</v>
    </oc>
    <nc r="D91">
      <v>46164.731944444444</v>
    </nc>
  </rcc>
  <rcc rId="138934" sId="1" numFmtId="23">
    <oc r="E91">
      <v>46158.724305555559</v>
    </oc>
    <nc r="E91">
      <v>46164.774305555555</v>
    </nc>
  </rcc>
  <rcc rId="138935" sId="1">
    <oc r="F91" t="inlineStr">
      <is>
        <t>SJU-PUJ-SJU</t>
      </is>
    </oc>
    <nc r="F91" t="inlineStr">
      <is>
        <t>PTY-PUJ-PTY</t>
      </is>
    </nc>
  </rcc>
  <rcc rId="138936" sId="1">
    <oc r="B92" t="inlineStr">
      <is>
        <t>ARAJET</t>
      </is>
    </oc>
    <nc r="B92" t="inlineStr">
      <is>
        <t>UNITED AIRLINES</t>
      </is>
    </nc>
  </rcc>
  <rcc rId="138937" sId="1">
    <oc r="C92" t="inlineStr">
      <is>
        <t>DWI 5311/6086</t>
      </is>
    </oc>
    <nc r="C92" t="inlineStr">
      <is>
        <t>UAL 1699/1518</t>
      </is>
    </nc>
  </rcc>
  <rcc rId="138938" sId="1" numFmtId="23">
    <oc r="D92">
      <v>46158.679861111108</v>
    </oc>
    <nc r="D92">
      <v>46164.732638888891</v>
    </nc>
  </rcc>
  <rcc rId="138939" sId="1" numFmtId="23">
    <oc r="E92">
      <v>46158.790277777778</v>
    </oc>
    <nc r="E92">
      <v>46164.78125</v>
    </nc>
  </rcc>
  <rcc rId="138940" sId="1">
    <oc r="F92" t="inlineStr">
      <is>
        <t>EWR-PUJ-GRU</t>
      </is>
    </oc>
    <nc r="F92" t="inlineStr">
      <is>
        <t>DEN-PUJ-EWR</t>
      </is>
    </nc>
  </rcc>
  <rcc rId="138941" sId="1">
    <oc r="B93" t="inlineStr">
      <is>
        <t>LAN CHILE</t>
      </is>
    </oc>
    <nc r="B93" t="inlineStr">
      <is>
        <t>CONDOR</t>
      </is>
    </nc>
  </rcc>
  <rcc rId="138942" sId="1">
    <oc r="C93" t="inlineStr">
      <is>
        <t>LAN 592/592</t>
      </is>
    </oc>
    <nc r="C93" t="inlineStr">
      <is>
        <t>CFG 2228/2229</t>
      </is>
    </nc>
  </rcc>
  <rcc rId="138943" sId="1" numFmtId="23">
    <oc r="D93">
      <v>46158.680555555555</v>
    </oc>
    <nc r="D93">
      <v>46164.760416666664</v>
    </nc>
  </rcc>
  <rcc rId="138944" sId="1" numFmtId="23">
    <oc r="E93">
      <v>46158.743055555555</v>
    </oc>
    <nc r="E93">
      <v>46164.84375</v>
    </nc>
  </rcc>
  <rcc rId="138945" sId="1">
    <oc r="F93" t="inlineStr">
      <is>
        <t>SCL-PUJ-MIA</t>
      </is>
    </oc>
    <nc r="F93" t="inlineStr">
      <is>
        <t>FRA-PUJ-FRA</t>
      </is>
    </nc>
  </rcc>
  <rcc rId="138946" sId="1">
    <oc r="B94" t="inlineStr">
      <is>
        <t>SKY AIRLINE PERÚ</t>
      </is>
    </oc>
    <nc r="B94" t="inlineStr">
      <is>
        <t>LAN PERU</t>
      </is>
    </nc>
  </rcc>
  <rcc rId="138947" sId="1">
    <oc r="C94" t="inlineStr">
      <is>
        <t>SKX 5580/5581</t>
      </is>
    </oc>
    <nc r="C94" t="inlineStr">
      <is>
        <t>LPE 2450/2451</t>
      </is>
    </nc>
  </rcc>
  <rcc rId="138948" sId="1" numFmtId="23">
    <oc r="D94">
      <v>46158.680555555555</v>
    </oc>
    <nc r="D94">
      <v>46164.770833333336</v>
    </nc>
  </rcc>
  <rcc rId="138949" sId="1" numFmtId="23">
    <oc r="E94">
      <v>46158.729166666664</v>
    </oc>
    <nc r="E94">
      <v>46164.815972222219</v>
    </nc>
  </rcc>
  <rcc rId="138950" sId="1">
    <oc r="B95" t="inlineStr">
      <is>
        <t>AMERICAN AIRLINES</t>
      </is>
    </oc>
    <nc r="B95" t="inlineStr">
      <is>
        <t>ARAJET</t>
      </is>
    </nc>
  </rcc>
  <rcc rId="138951" sId="1">
    <oc r="C95" t="inlineStr">
      <is>
        <t>AAL 503/3266</t>
      </is>
    </oc>
    <nc r="C95" t="inlineStr">
      <is>
        <t>DWI 1003/6266</t>
      </is>
    </nc>
  </rcc>
  <rcc rId="138952" sId="1" numFmtId="23">
    <oc r="D95">
      <v>46158.684027777781</v>
    </oc>
    <nc r="D95">
      <v>46164.785416666666</v>
    </nc>
  </rcc>
  <rcc rId="138953" sId="1" numFmtId="23">
    <oc r="E95">
      <v>46158.725694444445</v>
    </oc>
    <nc r="E95">
      <v>46164.90625</v>
    </nc>
  </rcc>
  <rcc rId="138954" sId="1">
    <oc r="F95" t="inlineStr">
      <is>
        <t>DFW-PUJ-MIA</t>
      </is>
    </oc>
    <nc r="F95" t="inlineStr">
      <is>
        <t>SJU-PUJ-EZE</t>
      </is>
    </nc>
  </rcc>
  <rcc rId="138955" sId="1">
    <oc r="B96" t="inlineStr">
      <is>
        <t>JETBLUE AIRWAYS</t>
      </is>
    </oc>
    <nc r="B96" t="inlineStr">
      <is>
        <t>AIR EUROPA</t>
      </is>
    </nc>
  </rcc>
  <rcc rId="138956" sId="1">
    <oc r="C96" t="inlineStr">
      <is>
        <t>JBU 1669/564</t>
      </is>
    </oc>
    <nc r="C96" t="inlineStr">
      <is>
        <t>AEA 033/034</t>
      </is>
    </nc>
  </rcc>
  <rcc rId="138957" sId="1" numFmtId="23">
    <oc r="D96">
      <v>46158.685416666667</v>
    </oc>
    <nc r="D96">
      <v>46164.809027777781</v>
    </nc>
  </rcc>
  <rcc rId="138958" sId="1" numFmtId="23">
    <oc r="E96">
      <v>46158.763888888891</v>
    </oc>
    <nc r="E96">
      <v>46164.888888888891</v>
    </nc>
  </rcc>
  <rcc rId="138959" sId="1">
    <oc r="F96" t="inlineStr">
      <is>
        <t>JFK-PUJ-TPA</t>
      </is>
    </oc>
    <nc r="F96" t="inlineStr">
      <is>
        <t>MAD-PUJ-MAD</t>
      </is>
    </nc>
  </rcc>
  <rcc rId="138960" sId="1" numFmtId="23">
    <oc r="D97">
      <v>46158.688194444447</v>
    </oc>
    <nc r="D97">
      <v>46164.82916666667</v>
    </nc>
  </rcc>
  <rcc rId="138961" sId="1">
    <oc r="F97" t="inlineStr">
      <is>
        <t>MIA-PUJ-COR</t>
      </is>
    </oc>
    <nc r="F97" t="inlineStr">
      <is>
        <t>MIA-PUJ-YYZ</t>
      </is>
    </nc>
  </rcc>
  <rcc rId="138962" sId="1" numFmtId="23">
    <oc r="D98">
      <v>46158.695138888892</v>
    </oc>
    <nc r="D98">
      <v>46164.840277777781</v>
    </nc>
  </rcc>
  <rcc rId="138963" sId="1">
    <oc r="F98" t="inlineStr">
      <is>
        <t>CUN-PUJ-MDZ</t>
      </is>
    </oc>
    <nc r="F98" t="inlineStr">
      <is>
        <t>MDE-PUJ-NLU</t>
      </is>
    </nc>
  </rcc>
  <rcc rId="138964" sId="1">
    <oc r="B99" t="inlineStr">
      <is>
        <t>AVIANCA</t>
      </is>
    </oc>
    <nc r="B99" t="inlineStr">
      <is>
        <t>FRONTIER AIRLINES</t>
      </is>
    </nc>
  </rcc>
  <rcc rId="138965" sId="1">
    <oc r="C99" t="inlineStr">
      <is>
        <t>AVA 252/253</t>
      </is>
    </oc>
    <nc r="C99" t="inlineStr">
      <is>
        <t>FFT 241/240</t>
      </is>
    </nc>
  </rcc>
  <rcc rId="138966" sId="1" numFmtId="23">
    <oc r="D99">
      <v>46158.697916666664</v>
    </oc>
    <nc r="D99">
      <v>46164.84652777778</v>
    </nc>
  </rcc>
  <rcc rId="138967" sId="1" numFmtId="23">
    <oc r="E99">
      <v>46158.75</v>
    </oc>
    <nc r="E99">
      <v>46164.895138888889</v>
    </nc>
  </rcc>
  <rcc rId="138968" sId="1">
    <oc r="F99" t="inlineStr">
      <is>
        <t>BOG-PUJ-BOG</t>
      </is>
    </oc>
    <nc r="F99" t="inlineStr">
      <is>
        <t>SJU-PUJ-SJU</t>
      </is>
    </nc>
  </rcc>
  <rcc rId="138969" sId="1">
    <oc r="B100" t="inlineStr">
      <is>
        <t>EDELWEISS AIR</t>
      </is>
    </oc>
    <nc r="B100" t="inlineStr">
      <is>
        <t>ARAJET</t>
      </is>
    </nc>
  </rcc>
  <rcc rId="138970" sId="1" numFmtId="23">
    <oc r="D100">
      <v>46158.708333333336</v>
    </oc>
    <nc r="D100">
      <v>46164.848611111112</v>
    </nc>
  </rcc>
  <rcc rId="138971" sId="1">
    <oc r="F100" t="inlineStr">
      <is>
        <t>ZRH-PUJ-ZRH</t>
      </is>
    </oc>
    <nc r="F100" t="inlineStr">
      <is>
        <t>BOG-PUJ-GRU</t>
      </is>
    </nc>
  </rcc>
  <rcc rId="138972" sId="1" numFmtId="23">
    <oc r="D101">
      <v>46158.715277777781</v>
    </oc>
    <nc r="D101">
      <v>46164.850694444445</v>
    </nc>
  </rcc>
  <rcc rId="138973" sId="1">
    <oc r="F101" t="inlineStr">
      <is>
        <t>YYZ-PUJ-EWR</t>
      </is>
    </oc>
    <nc r="F101" t="inlineStr">
      <is>
        <t>SFB-PUJ-CUN</t>
      </is>
    </nc>
  </rcc>
  <rcc rId="138974" sId="1">
    <oc r="B102" t="inlineStr">
      <is>
        <t>JETBLUE AIRWAYS</t>
      </is>
    </oc>
    <nc r="B102" t="inlineStr">
      <is>
        <t>ARAJET</t>
      </is>
    </nc>
  </rcc>
  <rcc rId="138975" sId="1" numFmtId="23">
    <oc r="D102">
      <v>46158.71875</v>
    </oc>
    <nc r="D102">
      <v>46164.875</v>
    </nc>
  </rcc>
  <rcc rId="138976" sId="1">
    <oc r="F102" t="inlineStr">
      <is>
        <t>TPA-PUJ-JFK</t>
      </is>
    </oc>
    <nc r="F102" t="inlineStr">
      <is>
        <t>CUN-PUJ-EZE</t>
      </is>
    </nc>
  </rcc>
  <rrc rId="138977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101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78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102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79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103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0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104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1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105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2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106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3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107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4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108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5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109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6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110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7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111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8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112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89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113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90" sId="1" ref="A103:XFD103" action="deleteRow">
    <undo index="65535" exp="area" ref3D="1" dr="$J$1:$J$1048576" dn="Z_10008C5C_A4D1_48FA_8FA6_39A95B03682D_.wvu.Cols" sId="1"/>
    <undo index="65535" exp="area" ref3D="1" dr="$J$1:$J$1048576" dn="Z_0B00F9FE_457A_4763_9AC1_CFA1966B22A2_.wvu.Cols" sId="1"/>
    <undo index="65535" exp="area" ref3D="1" dr="$J$1:$J$1048576" dn="Z_36BAE4F1_545D_451B_981E_D0F138A15196_.wvu.Cols" sId="1"/>
    <undo index="65535" exp="area" ref3D="1" dr="$J$1:$J$1048576" dn="Z_A866C1B7_78F3_4067_89B2_330E0D53500A_.wvu.Cols" sId="1"/>
    <undo index="65535" exp="area" ref3D="1" dr="$J$1:$J$1048576" dn="Z_F0B8FFC6_20B0_45DE_9311_A6A9D98DE641_.wvu.Cols" sId="1"/>
    <undo index="1" exp="area" ref3D="1" dr="$H$1:$H$1048576" dn="Z_E8DEC859_2E0A_41F0_AEFE_3533977A4E3E_.wvu.Cols" sId="1"/>
    <undo index="65535" exp="area" ref3D="1" dr="$J$1:$J$1048576" dn="Z_95E57E58_8356_446E_9D54_EE5EBFD6747E_.wvu.Cols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114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38991" sId="1" ref="A103:XFD103" action="deleteRow" edge="1">
    <undo index="65535" exp="area" dr="K3:K103" r="K104" sId="1"/>
    <undo index="65535" exp="area" dr="J3:J103" r="J104" sId="1"/>
    <undo index="65535" exp="area" dr="I3:I103" r="I104" sId="1"/>
    <undo index="65535" exp="area" ref3D="1" dr="$A$1:$O$103" dn="Print_Area" sId="1"/>
    <undo index="65535" exp="area" ref3D="1" dr="$A$2:$O$103" dn="_FilterDatabase" sId="1"/>
    <undo index="65535" exp="area" ref3D="1" dr="$A$2:$O$103" dn="Z_013AAAF9_9251_4D48_A0B6_F78FDE7AB502_.wvu.FilterData" sId="1"/>
    <undo index="65535" exp="area" ref3D="1" dr="$A$2:$O$103" dn="Z_03086586_7824_4E09_8736_A995ACDF847C_.wvu.FilterData" sId="1"/>
    <undo index="65535" exp="area" ref3D="1" dr="$A$2:$O$103" dn="Z_039163FB_6061_4332_A4E8_CC9F2C20767B_.wvu.FilterData" sId="1"/>
    <undo index="65535" exp="area" ref3D="1" dr="$A$1:$O$103" dn="Z_03086586_7824_4E09_8736_A995ACDF847C_.wvu.PrintArea" sId="1"/>
    <undo index="65535" exp="area" ref3D="1" dr="$A$2:$O$103" dn="Z_092728C4_63DC_4C98_B6C2_C13CD2585F28_.wvu.FilterData" sId="1"/>
    <undo index="65535" exp="area" ref3D="1" dr="$A$2:$O$103" dn="Z_10008C5C_A4D1_48FA_8FA6_39A95B03682D_.wvu.FilterData" sId="1"/>
    <undo index="65535" exp="area" ref3D="1" dr="$J$1:$J$1048576" dn="Z_10008C5C_A4D1_48FA_8FA6_39A95B03682D_.wvu.Cols" sId="1"/>
    <undo index="65535" exp="area" ref3D="1" dr="$A$2:$O$103" dn="Z_0D94595F_81E2_4300_87F7_E0867CD8A4B8_.wvu.FilterData" sId="1"/>
    <undo index="65535" exp="area" ref3D="1" dr="$A$1:$O$103" dn="Z_0B00F9FE_457A_4763_9AC1_CFA1966B22A2_.wvu.PrintArea" sId="1"/>
    <undo index="65535" exp="area" ref3D="1" dr="$A$2:$O$103" dn="Z_15FFC328_438F_4BF7_980D_BCB342A09BFD_.wvu.FilterData" sId="1"/>
    <undo index="65535" exp="area" ref3D="1" dr="$A$1:$O$103" dn="Z_0B509372_F65F_4662_A8C5_182E8739E56E_.wvu.PrintArea" sId="1"/>
    <undo index="65535" exp="area" ref3D="1" dr="$J$1:$J$1048576" dn="Z_0B00F9FE_457A_4763_9AC1_CFA1966B22A2_.wvu.Cols" sId="1"/>
    <undo index="65535" exp="area" ref3D="1" dr="$A$2:$O$103" dn="Z_11A700AD_874A_41F9_A594_09A019DBCD72_.wvu.FilterData" sId="1"/>
    <undo index="65535" exp="area" ref3D="1" dr="$A$2:$O$103" dn="Z_0BEEA2D5_E752_4A5A_A822_57DFD8F22708_.wvu.FilterData" sId="1"/>
    <undo index="65535" exp="area" ref3D="1" dr="$A$2:$O$103" dn="Z_132A51A5_6C45_467D_BBBA_607255BFC3F6_.wvu.FilterData" sId="1"/>
    <undo index="65535" exp="area" ref3D="1" dr="$A$1:$O$103" dn="Z_10008C5C_A4D1_48FA_8FA6_39A95B03682D_.wvu.PrintArea" sId="1"/>
    <undo index="65535" exp="area" ref3D="1" dr="$A$2:$O$103" dn="Z_1C0E9B68_E53B_4666_BEE9_801AE794CE48_.wvu.FilterData" sId="1"/>
    <undo index="65535" exp="area" ref3D="1" dr="$A$2:$O$103" dn="Z_0C9165B8_04E4_44B5_B41F_25F24D098A10_.wvu.FilterData" sId="1"/>
    <undo index="65535" exp="area" ref3D="1" dr="$A$2:$O$103" dn="Z_09F78B58_B160_4493_AD8C_8AC9CFB960EE_.wvu.FilterData" sId="1"/>
    <undo index="65535" exp="area" ref3D="1" dr="$A$2:$O$103" dn="Z_1B0C5301_A8AF_455D_A5BE_7222ADBB8FB4_.wvu.FilterData" sId="1"/>
    <undo index="65535" exp="area" ref3D="1" dr="$J$1:$J$1048576" dn="Z_36BAE4F1_545D_451B_981E_D0F138A15196_.wvu.Cols" sId="1"/>
    <undo index="65535" exp="area" ref3D="1" dr="$A$2:$O$103" dn="Z_3FE89B09_C032_4C59_B0EC_F26FF5E84AF7_.wvu.FilterData" sId="1"/>
    <undo index="65535" exp="area" ref3D="1" dr="$A$2:$O$103" dn="Z_4F7C9BA1_AC9E_485F_9173_0B9B2BD56A21_.wvu.FilterData" sId="1"/>
    <undo index="65535" exp="area" ref3D="1" dr="$A$1:$O$103" dn="Z_36BAE4F1_545D_451B_981E_D0F138A15196_.wvu.PrintArea" sId="1"/>
    <undo index="65535" exp="area" ref3D="1" dr="$A$2:$O$103" dn="Z_490A30BE_F622_4B98_AD99_2D1A1CD49BD0_.wvu.FilterData" sId="1"/>
    <undo index="65535" exp="area" ref3D="1" dr="$A$2:$O$103" dn="Z_45DE89A6_9715_48B1_98AE_DF380FBDDCE7_.wvu.FilterData" sId="1"/>
    <undo index="65535" exp="area" ref3D="1" dr="$A$2:$O$103" dn="Z_445D750F_13C7_497D_97B8_3F23FE4561CE_.wvu.FilterData" sId="1"/>
    <undo index="65535" exp="area" ref3D="1" dr="$A$2:$O$103" dn="Z_37B7628F_8228_45D5_9D29_4EC64EB02F63_.wvu.FilterData" sId="1"/>
    <undo index="65535" exp="area" ref3D="1" dr="$A$2:$O$103" dn="Z_4CD2B08C_5C58_4035_9242_9204E0850789_.wvu.FilterData" sId="1"/>
    <undo index="65535" exp="area" ref3D="1" dr="$A$1:$O$103" dn="Z_3FA81F90_EAC3_4AA7_B377_3A65BE32742A_.wvu.PrintArea" sId="1"/>
    <undo index="65535" exp="area" ref3D="1" dr="$A$1:$O$103" dn="Z_3989E237_CFE7_4ED0_AD68_AE8440856B67_.wvu.PrintArea" sId="1"/>
    <undo index="65535" exp="area" ref3D="1" dr="$A$2:$O$103" dn="Z_44F10846_E6BB_453A_9812_54C4A675B31B_.wvu.FilterData" sId="1"/>
    <undo index="65535" exp="area" ref3D="1" dr="$A$2:$O$103" dn="Z_46E3707D_B7A2_48AE_89C7_0E04B35B8445_.wvu.FilterData" sId="1"/>
    <undo index="65535" exp="area" ref3D="1" dr="$A$2:$O$103" dn="Z_3C38CA38_9501_4F73_81A9_FA973434614D_.wvu.FilterData" sId="1"/>
    <undo index="65535" exp="area" ref3D="1" dr="$A$2:$O$103" dn="Z_3FA81F90_EAC3_4AA7_B377_3A65BE32742A_.wvu.FilterData" sId="1"/>
    <undo index="65535" exp="area" ref3D="1" dr="$A$2:$O$103" dn="Z_57BB98E2_45EF_4BA3_A51D_7D83ED750252_.wvu.FilterData" sId="1"/>
    <undo index="65535" exp="area" ref3D="1" dr="$A$2:$O$103" dn="Z_57A4F0E9_9D83_4B6A_8617_78C4AF06DF3D_.wvu.FilterData" sId="1"/>
    <undo index="65535" exp="area" ref3D="1" dr="$A$2:$O$103" dn="Z_36BAE4F1_545D_451B_981E_D0F138A15196_.wvu.FilterData" sId="1"/>
    <undo index="65535" exp="area" ref3D="1" dr="$A$1:$O$103" dn="Z_2DFC5A74_9126_4E47_8A33_7DDA70BEB139_.wvu.PrintArea" sId="1"/>
    <undo index="65535" exp="area" ref3D="1" dr="$A$2:$O$103" dn="Z_2DE245DA_4AFA_4C1C_9357_08D59B4D5EF0_.wvu.FilterData" sId="1"/>
    <undo index="65535" exp="area" ref3D="1" dr="$A$1:$O$103" dn="Z_2C926DA5_F3E2_45B3_ABBA_768705894B24_.wvu.PrintArea" sId="1"/>
    <undo index="65535" exp="area" ref3D="1" dr="$A$1:$O$103" dn="Z_29B34E39_649B_416A_BC3B_F9490368C72E_.wvu.PrintArea" sId="1"/>
    <undo index="65535" exp="area" ref3D="1" dr="$A$2:$O$103" dn="Z_243FC4D3_6710_4427_B81B_458ABB307FA8_.wvu.FilterData" sId="1"/>
    <undo index="65535" exp="area" ref3D="1" dr="$A$2:$O$103" dn="Z_22645D73_F33A_4848_8B7A_F7915054B3C9_.wvu.FilterData" sId="1"/>
    <undo index="65535" exp="area" ref3D="1" dr="$A$2:$O$103" dn="Z_2C926DA5_F3E2_45B3_ABBA_768705894B24_.wvu.FilterData" sId="1"/>
    <undo index="65535" exp="area" ref3D="1" dr="$A$2:$O$103" dn="Z_2DFC5A74_9126_4E47_8A33_7DDA70BEB139_.wvu.FilterData" sId="1"/>
    <undo index="65535" exp="area" ref3D="1" dr="$A$2:$O$103" dn="Z_21F7DCCE_53DC_4AEF_9A7F_738AD8390482_.wvu.FilterData" sId="1"/>
    <undo index="65535" exp="area" ref3D="1" dr="$A$2:$O$103" dn="Z_24FDD27A_10A3_4ED6_AEBC_7457D56023F7_.wvu.FilterData" sId="1"/>
    <undo index="65535" exp="area" ref3D="1" dr="$A$2:$O$103" dn="Z_318EBBA3_CCB2_4EA7_AEFE_6BD6EB8552C5_.wvu.FilterData" sId="1"/>
    <undo index="65535" exp="area" ref3D="1" dr="$A$2:$O$103" dn="Z_2F212B4E_CF42_4356_BC22_BE6C6AF675B7_.wvu.FilterData" sId="1"/>
    <undo index="65535" exp="area" ref3D="1" dr="$A$2:$O$103" dn="Z_29B34E39_649B_416A_BC3B_F9490368C72E_.wvu.FilterData" sId="1"/>
    <undo index="65535" exp="area" ref3D="1" dr="$A$1:$O$103" dn="Z_1C0E9B68_E53B_4666_BEE9_801AE794CE48_.wvu.PrintArea" sId="1"/>
    <undo index="65535" exp="area" ref3D="1" dr="$A$2:$O$103" dn="Z_34ECDB04_504A_40C9_BD8C_6273375323C2_.wvu.FilterData" sId="1"/>
    <undo index="65535" exp="area" ref3D="1" dr="$A$2:$O$103" dn="Z_2A7F22E9_2811_47ED_BD6C_C6B8B136CCCA_.wvu.FilterData" sId="1"/>
    <undo index="65535" exp="area" ref3D="1" dr="$A$1:$O$103" dn="Z_B23C6C60_3138_4B61_A8A8_47F5982D7283_.wvu.PrintArea" sId="1"/>
    <undo index="65535" exp="area" ref3D="1" dr="$A$2:$O$103" dn="Z_B08B09D8_897F_4FEA_9ADF_9809C84CF963_.wvu.FilterData" sId="1"/>
    <undo index="65535" exp="area" ref3D="1" dr="$A$1:$O$103" dn="Z_A920C77D_7F54_488F_9D03_7F4525345E95_.wvu.PrintArea" sId="1"/>
    <undo index="65535" exp="area" ref3D="1" dr="$A$2:$O$103" dn="Z_AEBE36F6_7D74_4E33_9A8D_ECABC935B03B_.wvu.FilterData" sId="1"/>
    <undo index="65535" exp="area" ref3D="1" dr="$A$2:$O$103" dn="Z_AE386AF6_4976_4171_B46B_662DF4E13853_.wvu.FilterData" sId="1"/>
    <undo index="65535" exp="area" ref3D="1" dr="$A$2:$O$103" dn="Z_A40B55DA_3989_4C50_8FB7_EBF8DD254630_.wvu.FilterData" sId="1"/>
    <undo index="65535" exp="area" ref3D="1" dr="$A$2:$O$103" dn="Z_A00AF441_9A62_4791_B5DB_F4B50DAC5E95_.wvu.FilterData" sId="1"/>
    <undo index="65535" exp="area" ref3D="1" dr="$A$2:$O$103" dn="Z_A02CC661_7147_4A83_BB30_AF86CFD04A40_.wvu.FilterData" sId="1"/>
    <undo index="65535" exp="area" ref3D="1" dr="$A$1:$O$103" dn="Z_A00AF441_9A62_4791_B5DB_F4B50DAC5E95_.wvu.PrintArea" sId="1"/>
    <undo index="65535" exp="area" ref3D="1" dr="$A$1:$O$103" dn="Z_AC52F8A8_24C3_4F0E_A08C_EBB5B5B46AFE_.wvu.PrintArea" sId="1"/>
    <undo index="65535" exp="area" ref3D="1" dr="$J$1:$J$1048576" dn="Z_A866C1B7_78F3_4067_89B2_330E0D53500A_.wvu.Cols" sId="1"/>
    <undo index="65535" exp="area" ref3D="1" dr="$A$1:$O$103" dn="Z_B08B09D8_897F_4FEA_9ADF_9809C84CF963_.wvu.PrintArea" sId="1"/>
    <undo index="65535" exp="area" ref3D="1" dr="$A$2:$O$103" dn="Z_A09E13B9_AF93_400E_95C5_C3CAAD2090DB_.wvu.FilterData" sId="1"/>
    <undo index="65535" exp="area" ref3D="1" dr="$A$2:$O$103" dn="Z_A0C6FF70_841C_41D1_A89A_4069DEE7750D_.wvu.FilterData" sId="1"/>
    <undo index="65535" exp="area" ref3D="1" dr="$A$2:$O$103" dn="Z_B23C6C60_3138_4B61_A8A8_47F5982D7283_.wvu.FilterData" sId="1"/>
    <undo index="65535" exp="area" ref3D="1" dr="$A$2:$O$103" dn="Z_CB171A4C_83F2_4CC0_8F84_5C9A6EA23918_.wvu.FilterData" sId="1"/>
    <undo index="65535" exp="area" ref3D="1" dr="$A$2:$O$103" dn="Z_C9EA82F2_769C_48CA_A0EF_DAE757BF7B6C_.wvu.FilterData" sId="1"/>
    <undo index="65535" exp="area" ref3D="1" dr="$A$2:$O$103" dn="Z_B7830AB3_7F9A_47F9_B435_750C5377CC55_.wvu.FilterData" sId="1"/>
    <undo index="65535" exp="area" ref3D="1" dr="$A$2:$O$103" dn="Z_C33E9CB2_491C_4F47_BD4E_9CC5C3A0321C_.wvu.FilterData" sId="1"/>
    <undo index="65535" exp="area" ref3D="1" dr="$A$2:$O$103" dn="Z_C1FB28F1_D4BC_4006_BE08_65E05B4784D6_.wvu.FilterData" sId="1"/>
    <undo index="65535" exp="area" ref3D="1" dr="$A$2:$O$103" dn="Z_B9184FBC_7B7E_43E7_A554_78960E9ED3B1_.wvu.FilterData" sId="1"/>
    <undo index="65535" exp="area" ref3D="1" dr="$A$2:$O$103" dn="Z_B96EAA3A_AFF6_4AC2_8BD4_188C298CDEFA_.wvu.FilterData" sId="1"/>
    <undo index="65535" exp="area" ref3D="1" dr="$A$2:$O$103" dn="Z_DA8E3833_2EDE_4263_8819_DF17F4F317EA_.wvu.FilterData" sId="1"/>
    <undo index="65535" exp="area" ref3D="1" dr="$A$2:$O$103" dn="Z_C7692449_69F5_43DB_BAB4_159493CEE9A4_.wvu.FilterData" sId="1"/>
    <undo index="65535" exp="area" ref3D="1" dr="$A$2:$O$103" dn="Z_D69118B5_6933_4C71_A01C_BBB40E759951_.wvu.FilterData" sId="1"/>
    <undo index="65535" exp="area" ref3D="1" dr="$A$2:$O$103" dn="Z_CB419089_0BDC_4A8F_9733_81EAC5117E2C_.wvu.FilterData" sId="1"/>
    <undo index="65535" exp="area" ref3D="1" dr="$A$1:$O$103" dn="Z_CB26C1B7_ACE1_4D0A_8093_67D28491D27F_.wvu.PrintArea" sId="1"/>
    <undo index="65535" exp="area" ref3D="1" dr="$A$2:$O$103" dn="Z_BACFA883_2AAF_400F_B84F_DA950BB62A44_.wvu.FilterData" sId="1"/>
    <undo index="65535" exp="area" ref3D="1" dr="$A$2:$O$103" dn="Z_BAD0D81A_7557_403A_8199_127D115E540F_.wvu.FilterData" sId="1"/>
    <undo index="65535" exp="area" ref3D="1" dr="$A$2:$O$103" dn="Z_C38EA512_44D6_404C_8BEB_F4A9B9DC74BA_.wvu.FilterData" sId="1"/>
    <undo index="65535" exp="area" ref3D="1" dr="$A$2:$O$103" dn="Z_C2719B01_A4CE_4BC8_82CA_DC1C1E656927_.wvu.FilterData" sId="1"/>
    <undo index="65535" exp="area" ref3D="1" dr="$A$2:$O$103" dn="Z_D695EF17_939E_4CEE_89DF_9AC04421B9CD_.wvu.FilterData" sId="1"/>
    <undo index="65535" exp="area" ref3D="1" dr="$A$1:$O$103" dn="Z_D480CDC4_F9DD_422C_8568_D6BD2B850612_.wvu.PrintArea" sId="1"/>
    <undo index="65535" exp="area" ref3D="1" dr="$A$2:$O$103" dn="Z_D480CDC4_F9DD_422C_8568_D6BD2B850612_.wvu.FilterData" sId="1"/>
    <undo index="65535" exp="area" ref3D="1" dr="$A$2:$O$103" dn="Z_BB92B2D4_AF72_44C0_B45D_F6AD561334E1_.wvu.FilterData" sId="1"/>
    <undo index="65535" exp="area" ref3D="1" dr="$A$2:$O$103" dn="Z_B42C02EE_BC2F_49D4_90E2_7735CA7A1D54_.wvu.FilterData" sId="1"/>
    <undo index="65535" exp="area" ref3D="1" dr="$A$2:$O$103" dn="Z_C13660BC_39F5_4B11_AA34_72FBE153DE3E_.wvu.FilterData" sId="1"/>
    <undo index="65535" exp="area" ref3D="1" dr="$A$2:$O$103" dn="Z_E4766A83_9A65_4CBA_BCE6_35CB18AF301D_.wvu.FilterData" sId="1"/>
    <undo index="65535" exp="area" ref3D="1" dr="$J$1:$J$1048576" dn="Z_F0B8FFC6_20B0_45DE_9311_A6A9D98DE641_.wvu.Cols" sId="1"/>
    <undo index="65535" exp="area" ref3D="1" dr="$A$1:$O$103" dn="Z_DFE4709F_A2E7_47C8_B03E_7B313722AB9D_.wvu.PrintArea" sId="1"/>
    <undo index="65535" exp="area" ref3D="1" dr="$A$2:$O$103" dn="Z_DB241527_B80C_4356_AD22_D6F1990875E0_.wvu.FilterData" sId="1"/>
    <undo index="65535" exp="area" ref3D="1" dr="$A$1:$O$103" dn="Z_E8DEC859_2E0A_41F0_AEFE_3533977A4E3E_.wvu.PrintArea" sId="1"/>
    <undo index="65535" exp="area" ref3D="1" dr="$A$2:$O$103" dn="Z_F0780936_2C08_4ECB_B26B_A7BD057E2DA0_.wvu.FilterData" sId="1"/>
    <undo index="65535" exp="area" ref3D="1" dr="$A$2:$O$103" dn="Z_E42752B0_3245_40CD_AE55_73B6049C635C_.wvu.FilterData" sId="1"/>
    <undo index="65535" exp="area" ref3D="1" dr="$A$2:$O$103" dn="Z_EE1AD1EE_BADF_4AEB_884E_359A19086136_.wvu.FilterData" sId="1"/>
    <undo index="65535" exp="area" ref3D="1" dr="$A$2:$O$103" dn="Z_EC53F027_6470_4820_977A_D65AF3C6E199_.wvu.FilterData" sId="1"/>
    <undo index="65535" exp="area" ref3D="1" dr="$A$2:$O$103" dn="Z_E94D3D91_8CF6_4EC3_A295_3584C6409ADB_.wvu.FilterData" sId="1"/>
    <undo index="65535" exp="area" ref3D="1" dr="$A$2:$O$103" dn="Z_E8DEC859_2E0A_41F0_AEFE_3533977A4E3E_.wvu.FilterData" sId="1"/>
    <undo index="1" exp="area" ref3D="1" dr="$H$1:$H$1048576" dn="Z_E8DEC859_2E0A_41F0_AEFE_3533977A4E3E_.wvu.Cols" sId="1"/>
    <undo index="65535" exp="area" ref3D="1" dr="$A$2:$O$103" dn="Z_E6FDD3FA_EDEB_4F50_A9EA_2428257F3F65_.wvu.FilterData" sId="1"/>
    <undo index="65535" exp="area" ref3D="1" dr="$A$1:$O$103" dn="Z_F2D5E524_50F8_4379_A5A3_4CF04A248C6F_.wvu.PrintArea" sId="1"/>
    <undo index="65535" exp="area" ref3D="1" dr="$A$2:$O$103" dn="Z_EDD0BA36_85BF_4331_AFD5_3CBE2F9EB314_.wvu.FilterData" sId="1"/>
    <undo index="65535" exp="area" ref3D="1" dr="$A$2:$O$103" dn="Z_F2D5E524_50F8_4379_A5A3_4CF04A248C6F_.wvu.FilterData" sId="1"/>
    <undo index="65535" exp="area" ref3D="1" dr="$A$2:$O$103" dn="Z_E6EF3995_CF61_480D_883A_9180FA4DA40D_.wvu.FilterData" sId="1"/>
    <undo index="65535" exp="area" ref3D="1" dr="$A$1:$O$103" dn="Z_F0B8FFC6_20B0_45DE_9311_A6A9D98DE641_.wvu.PrintArea" sId="1"/>
    <undo index="65535" exp="area" ref3D="1" dr="$A$2:$O$103" dn="Z_E672D094_C3D5_49A7_A026_C095B844EB4F_.wvu.FilterData" sId="1"/>
    <undo index="65535" exp="area" ref3D="1" dr="$A$2:$O$103" dn="Z_F0B8FFC6_20B0_45DE_9311_A6A9D98DE641_.wvu.FilterData" sId="1"/>
    <undo index="65535" exp="area" ref3D="1" dr="$A$2:$O$103" dn="Z_FF15DDF3_23D4_4EF5_9223_8F713288A8B7_.wvu.FilterData" sId="1"/>
    <undo index="65535" exp="area" ref3D="1" dr="$A$2:$O$103" dn="Z_FCB7492C_D74D_4CA2_A34E_8493F17B665D_.wvu.FilterData" sId="1"/>
    <undo index="65535" exp="area" ref3D="1" dr="$A$2:$O$103" dn="Z_FE6BCC54_D17D_41B0_A690_A1BA973D2D65_.wvu.FilterData" sId="1"/>
    <undo index="65535" exp="area" ref3D="1" dr="$A$2:$O$103" dn="Z_FFD5D86C_1BC1_493B_AEC4_09429ED87B40_.wvu.FilterData" sId="1"/>
    <undo index="65535" exp="area" ref3D="1" dr="$A$2:$O$103" dn="Z_F78B70CA_6E07_4D91_A179_D04739CA0CF4_.wvu.FilterData" sId="1"/>
    <undo index="65535" exp="area" ref3D="1" dr="$A$2:$O$103" dn="Z_FFC97214_09A0_4A5E_8E6D_B6357A6DCB5E_.wvu.FilterData" sId="1"/>
    <undo index="65535" exp="area" ref3D="1" dr="$A$2:$O$103" dn="Z_FAC1DA37_9AC9_4D61_AC04_8ADCA847F3EC_.wvu.FilterData" sId="1"/>
    <undo index="65535" exp="area" ref3D="1" dr="$A$1:$O$103" dn="Z_FA56863A_4051_4578_AF28_08DCC59DE096_.wvu.PrintArea" sId="1"/>
    <undo index="65535" exp="area" ref3D="1" dr="$A$2:$O$103" dn="Z_F963679D_3674_472B_9935_95B2AB2C7A55_.wvu.FilterData" sId="1"/>
    <undo index="65535" exp="area" ref3D="1" dr="$A$2:$O$103" dn="Z_87E835C7_1441_4C14_B42B_999BA3ED6539_.wvu.FilterData" sId="1"/>
    <undo index="65535" exp="area" ref3D="1" dr="$A$2:$O$103" dn="Z_863EFDE5_55D2_414B_A52E_2EF404F1B4B3_.wvu.FilterData" sId="1"/>
    <undo index="65535" exp="area" ref3D="1" dr="$A$1:$O$103" dn="Z_94142418_3156_49E8_B844_722E5EB1AB1D_.wvu.PrintArea" sId="1"/>
    <undo index="65535" exp="area" ref3D="1" dr="$J$1:$J$1048576" dn="Z_95E57E58_8356_446E_9D54_EE5EBFD6747E_.wvu.Cols" sId="1"/>
    <undo index="65535" exp="area" ref3D="1" dr="$A$2:$O$103" dn="Z_94142418_3156_49E8_B844_722E5EB1AB1D_.wvu.FilterData" sId="1"/>
    <undo index="65535" exp="area" ref3D="1" dr="$A$2:$O$103" dn="Z_89D7AC28_591B_4F5A_9B97_F1B6C5CEC8DB_.wvu.FilterData" sId="1"/>
    <undo index="65535" exp="area" ref3D="1" dr="$A$2:$O$103" dn="Z_7EB6D739_622B_4E8A_AAE6_15E715020F82_.wvu.FilterData" sId="1"/>
    <undo index="65535" exp="area" ref3D="1" dr="$A$2:$O$103" dn="Z_9FB4AA8D_3525_49C3_8875_00C376AFFF22_.wvu.FilterData" sId="1"/>
    <undo index="65535" exp="area" ref3D="1" dr="$A$2:$O$103" dn="Z_97ADD1D3_C5BE_40DB_A58E_035862FF6CC0_.wvu.FilterData" sId="1"/>
    <undo index="65535" exp="area" ref3D="1" dr="$A$2:$O$103" dn="Z_86528949_47BE_43BC_9695_A192866F8F4E_.wvu.FilterData" sId="1"/>
    <undo index="65535" exp="area" ref3D="1" dr="$A$2:$O$103" dn="Z_8A2565EA_362D_412C_94E3_5E53318C5965_.wvu.FilterData" sId="1"/>
    <undo index="65535" exp="area" ref3D="1" dr="$A$2:$O$103" dn="Z_8FA9D817_9FF8_425F_BE6C_68F554A06CCD_.wvu.FilterData" sId="1"/>
    <undo index="65535" exp="area" ref3D="1" dr="$A$2:$O$103" dn="Z_9DAA3478_E2E4_493C_A4E3_18836752C4BD_.wvu.FilterData" sId="1"/>
    <undo index="65535" exp="area" ref3D="1" dr="$A$2:$O$103" dn="Z_6B256E1A_E42E_4CF1_8600_344B50C79D8E_.wvu.FilterData" sId="1"/>
    <undo index="65535" exp="area" ref3D="1" dr="$A$2:$O$103" dn="Z_67519A48_4C00_430C_99C2_DF0EDE34FF60_.wvu.FilterData" sId="1"/>
    <undo index="65535" exp="area" ref3D="1" dr="$A$1:$O$103" dn="Z_7D3E8508_B7DC_4CBD_A9D4_35F364BC1D81_.wvu.PrintArea" sId="1"/>
    <undo index="65535" exp="area" ref3D="1" dr="$A$2:$O$103" dn="Z_7D3E8508_B7DC_4CBD_A9D4_35F364BC1D81_.wvu.FilterData" sId="1"/>
    <undo index="65535" exp="area" ref3D="1" dr="$A$2:$O$103" dn="Z_78F93E5E_3FB8_40C4_B063_E47BC50D8E9F_.wvu.FilterData" sId="1"/>
    <undo index="65535" exp="area" ref3D="1" dr="$A$2:$O$103" dn="Z_7C53A1CD_71C2_45A4_8A33_C3EF6B1DFD13_.wvu.FilterData" sId="1"/>
    <undo index="65535" exp="area" ref3D="1" dr="$A$2:$O$103" dn="Z_79D89823_AFBF_4626_A9D0_C99BB0328F29_.wvu.FilterData" sId="1"/>
    <undo index="65535" exp="area" ref3D="1" dr="$A$2:$O$103" dn="Z_681567F5_7C38_4712_BF0F_31608B846AE3_.wvu.FilterData" sId="1"/>
    <undo index="65535" exp="area" ref3D="1" dr="$A$2:$O$103" dn="Z_78B9A4D1_28BC_46B5_866B_6A34DBBE9D66_.wvu.FilterData" sId="1"/>
    <undo index="65535" exp="area" ref3D="1" dr="$A$2:$O$103" dn="Z_65A202DD_84D1_4F51_8B92_C1842C04119F_.wvu.FilterData" sId="1"/>
    <undo index="65535" exp="area" ref3D="1" dr="$A$2:$O$103" dn="Z_5E4276DF_1CA6_4299_BC0C_441C1EDFEF2E_.wvu.FilterData" sId="1"/>
    <undo index="65535" exp="area" ref3D="1" dr="$A$2:$O$103" dn="Z_79D16F4C_2C09_4BA7_B06B_3B1B39D24638_.wvu.FilterData" sId="1"/>
    <undo index="65535" exp="area" ref3D="1" dr="$A$2:$O$103" dn="Z_72D10AEA_9D5A_4A1F_AEDE_745E9DA616DD_.wvu.FilterData" sId="1"/>
    <undo index="65535" exp="area" ref3D="1" dr="$A$1:$O$103" dn="Z_681567F5_7C38_4712_BF0F_31608B846AE3_.wvu.PrintArea" sId="1"/>
    <undo index="65535" exp="area" ref3D="1" dr="$A$2:$O$103" dn="Z_75EDC5CC_C441_4AF1_9B78_47CE2427C073_.wvu.FilterData" sId="1"/>
    <undo index="65535" exp="area" ref3D="1" dr="$A$2:$O$103" dn="Z_691D5AEA_B8FA_458A_A3AF_F3B9BEBB541D_.wvu.FilterData" sId="1"/>
    <undo index="65535" exp="area" ref3D="1" dr="$A$2:$O$103" dn="Z_7A8E45E4_2154_406B_925A_DBA7E09198BD_.wvu.FilterData" sId="1"/>
    <undo index="65535" exp="area" ref3D="1" dr="$A$2:$O$103" dn="Z_6B7B4F3D_9C4C_4D7B_B22C_D09B38D665A1_.wvu.FilterData" sId="1"/>
    <undo index="65535" exp="area" ref3D="1" dr="$A$2:$O$103" dn="Z_755F9713_BC8E_4149_AFB8_5835584ECDB3_.wvu.FilterData" sId="1"/>
    <undo index="65535" exp="area" ref3D="1" dr="$A$2:$O$103" dn="Z_6774B844_F4B2_4FBE_8C5B_0CFE0754C352_.wvu.FilterData" sId="1"/>
    <undo index="65535" exp="area" ref3D="1" dr="$A$2:$O$103" dn="Z_5FF2FE6C_7089_472A_BB1B_2774EAC625D2_.wvu.FilterData" sId="1"/>
    <undo index="65535" exp="area" ref3D="1" dr="$A$2:$O$103" dn="Z_68A1B04D_6691_4305_8C21_5BAB0E437FB5_.wvu.FilterData" sId="1"/>
    <undo index="65535" exp="area" ref3D="1" dr="$A$1:$O$103" dn="Z_5E450AB8_D6B9_42D3_8450_6BE57DBC677A_.wvu.PrintArea" sId="1"/>
    <undo index="65535" exp="area" ref3D="1" dr="$A$1:$O$103" dn="Z_72D10AEA_9D5A_4A1F_AEDE_745E9DA616DD_.wvu.PrintArea" sId="1"/>
    <undo index="65535" exp="area" ref3D="1" dr="$A$2:$O$103" dn="Z_6D30AA06_A414_4D75_889E_8073DB437891_.wvu.FilterData" sId="1"/>
    <undo index="65535" exp="area" ref3D="1" dr="$A$2:$O$103" dn="Z_04592255_D183_460F_BF80_0C2A294B2864_.wvu.FilterData" sId="1"/>
    <undo index="65535" exp="area" ref3D="1" dr="$A$2:$O$103" dn="Z_07ADBEF4_2EAA_43FF_9E1B_576B6C6D0EE2_.wvu.FilterData" sId="1"/>
    <rfmt sheetId="1" xfDxf="1" sqref="A103:XFD103" start="0" length="0">
      <dxf>
        <font>
          <sz val="16"/>
          <family val="2"/>
        </font>
        <alignment horizontal="center" vertical="center"/>
      </dxf>
    </rfmt>
    <rcc rId="0" sId="1" dxf="1" numFmtId="4">
      <nc r="A103">
        <v>115</v>
      </nc>
      <ndxf>
        <numFmt numFmtId="1" formatCode="0"/>
        <fill>
          <patternFill patternType="solid">
            <bgColor theme="0"/>
          </patternFill>
        </fill>
        <alignment shrinkToFit="1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B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103" start="0" length="0">
      <dxf>
        <numFmt numFmtId="25" formatCode="h:mm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103" start="0" length="0">
      <dxf>
        <numFmt numFmtId="164" formatCode="h:mm;@"/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103" start="0" length="0">
      <dxf>
        <fill>
          <patternFill patternType="solid">
            <bgColor theme="0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103" start="0" length="0">
      <dxf>
        <font>
          <sz val="18"/>
          <family val="2"/>
        </font>
        <alignment horizontal="general" vertical="bottom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103" start="0" length="0">
      <dxf>
        <font>
          <sz val="18"/>
          <family val="2"/>
        </font>
        <alignment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138992" sId="1">
    <oc r="G3" t="inlineStr">
      <is>
        <t>B738</t>
      </is>
    </oc>
    <nc r="G3" t="inlineStr">
      <is>
        <t>B38M</t>
      </is>
    </nc>
  </rcc>
  <rcc rId="138993" sId="1">
    <oc r="H3" t="inlineStr">
      <is>
        <t>ENVOY</t>
      </is>
    </oc>
    <nc r="H3" t="inlineStr">
      <is>
        <t>A.A.G.</t>
      </is>
    </nc>
  </rcc>
  <rcc rId="138994" sId="1">
    <oc r="M3" t="inlineStr">
      <is>
        <t>B32</t>
      </is>
    </oc>
    <nc r="M3" t="inlineStr">
      <is>
        <t>N9</t>
      </is>
    </nc>
  </rcc>
  <rcc rId="138995" sId="1">
    <oc r="G4" t="inlineStr">
      <is>
        <t>B38M</t>
      </is>
    </oc>
    <nc r="G4" t="inlineStr">
      <is>
        <t>B733</t>
      </is>
    </nc>
  </rcc>
  <rcc rId="138996" sId="1">
    <oc r="H4" t="inlineStr">
      <is>
        <t>A.A.G.</t>
      </is>
    </oc>
    <nc r="H4" t="inlineStr">
      <is>
        <t>CARIBE CARGO</t>
      </is>
    </nc>
  </rcc>
  <rcc rId="138997" sId="1">
    <oc r="M4" t="inlineStr">
      <is>
        <t>B22</t>
      </is>
    </oc>
    <nc r="M4" t="inlineStr">
      <is>
        <t>C1</t>
      </is>
    </nc>
  </rcc>
  <rcc rId="138998" sId="1">
    <oc r="O4" t="inlineStr">
      <is>
        <t>B</t>
      </is>
    </oc>
    <nc r="O4" t="inlineStr">
      <is>
        <t>CARGA</t>
      </is>
    </nc>
  </rcc>
  <rcc rId="138999" sId="1">
    <oc r="K5">
      <v>165</v>
    </oc>
    <nc r="K5">
      <v>148</v>
    </nc>
  </rcc>
  <rcc rId="139000" sId="1">
    <oc r="M5" t="inlineStr">
      <is>
        <t>B24</t>
      </is>
    </oc>
    <nc r="M5" t="inlineStr">
      <is>
        <t>B20</t>
      </is>
    </nc>
  </rcc>
  <rcc rId="139001" sId="1">
    <oc r="N5">
      <v>24</v>
    </oc>
    <nc r="N5">
      <v>20</v>
    </nc>
  </rcc>
  <rcc rId="139002" sId="1">
    <oc r="G6" t="inlineStr">
      <is>
        <t>B38M</t>
      </is>
    </oc>
    <nc r="G6" t="inlineStr">
      <is>
        <t>B767</t>
      </is>
    </nc>
  </rcc>
  <rcc rId="139003" sId="1">
    <oc r="H6" t="inlineStr">
      <is>
        <t>A.A.G.</t>
      </is>
    </oc>
    <nc r="H6" t="inlineStr">
      <is>
        <t>CARIBE TRANS</t>
      </is>
    </nc>
  </rcc>
  <rcc rId="139004" sId="1">
    <oc r="M6" t="inlineStr">
      <is>
        <t>B26A</t>
      </is>
    </oc>
    <nc r="M6" t="inlineStr">
      <is>
        <t>C2</t>
      </is>
    </nc>
  </rcc>
  <rcc rId="139005" sId="1">
    <oc r="O6" t="inlineStr">
      <is>
        <t>B</t>
      </is>
    </oc>
    <nc r="O6" t="inlineStr">
      <is>
        <t>CARGA</t>
      </is>
    </nc>
  </rcc>
  <rcc rId="139006" sId="1">
    <oc r="G7" t="inlineStr">
      <is>
        <t>B38M</t>
      </is>
    </oc>
    <nc r="G7" t="inlineStr">
      <is>
        <t>A320</t>
      </is>
    </nc>
  </rcc>
  <rcc rId="139007" sId="1">
    <oc r="H7" t="inlineStr">
      <is>
        <t>A.A.G.</t>
      </is>
    </oc>
    <nc r="H7" t="inlineStr">
      <is>
        <t>JETBLUE</t>
      </is>
    </nc>
  </rcc>
  <rcc rId="139008" sId="1">
    <oc r="I7" t="inlineStr">
      <is>
        <t>N/A</t>
      </is>
    </oc>
    <nc r="I7">
      <v>162</v>
    </nc>
  </rcc>
  <rcc rId="139009" sId="1">
    <oc r="K7">
      <v>133</v>
    </oc>
    <nc r="K7">
      <v>50</v>
    </nc>
  </rcc>
  <rcc rId="139010" sId="1">
    <oc r="L7">
      <v>15</v>
    </oc>
    <nc r="L7">
      <v>2</v>
    </nc>
  </rcc>
  <rcc rId="139011" sId="1">
    <oc r="M7" t="inlineStr">
      <is>
        <t>B20</t>
      </is>
    </oc>
    <nc r="M7" t="inlineStr">
      <is>
        <t>P10</t>
      </is>
    </nc>
  </rcc>
  <rcc rId="139012" sId="1">
    <oc r="N7">
      <v>20</v>
    </oc>
    <nc r="N7">
      <v>13</v>
    </nc>
  </rcc>
  <rcc rId="139013" sId="1">
    <oc r="O7" t="inlineStr">
      <is>
        <t>B</t>
      </is>
    </oc>
    <nc r="O7" t="inlineStr">
      <is>
        <t>A</t>
      </is>
    </nc>
  </rcc>
  <rcc rId="139014" sId="1">
    <oc r="I8" t="inlineStr">
      <is>
        <t>N/A</t>
      </is>
    </oc>
    <nc r="I8">
      <v>169</v>
    </nc>
  </rcc>
  <rcc rId="139015" sId="1">
    <oc r="J8" t="inlineStr">
      <is>
        <t>N/A</t>
      </is>
    </oc>
    <nc r="J8">
      <v>19</v>
    </nc>
  </rcc>
  <rcc rId="139016" sId="1">
    <oc r="K8">
      <v>187</v>
    </oc>
    <nc r="K8">
      <v>173</v>
    </nc>
  </rcc>
  <rcc rId="139017" sId="1">
    <oc r="L8" t="inlineStr">
      <is>
        <t>N/A</t>
      </is>
    </oc>
    <nc r="L8">
      <v>11</v>
    </nc>
  </rcc>
  <rcc rId="139018" sId="1">
    <oc r="M8" t="inlineStr">
      <is>
        <t>B23</t>
      </is>
    </oc>
    <nc r="M8" t="inlineStr">
      <is>
        <t>B22</t>
      </is>
    </nc>
  </rcc>
  <rcc rId="139019" sId="1">
    <oc r="N8">
      <v>23</v>
    </oc>
    <nc r="N8">
      <v>22</v>
    </nc>
  </rcc>
  <rcc rId="139020" sId="1">
    <oc r="G9" t="inlineStr">
      <is>
        <t>B738</t>
      </is>
    </oc>
    <nc r="G9" t="inlineStr">
      <is>
        <t>A320</t>
      </is>
    </nc>
  </rcc>
  <rcc rId="139021" sId="1">
    <oc r="H9" t="inlineStr">
      <is>
        <t>A.A.G.</t>
      </is>
    </oc>
    <nc r="H9" t="inlineStr">
      <is>
        <t>JETBLUE</t>
      </is>
    </nc>
  </rcc>
  <rcc rId="139022" sId="1">
    <oc r="I9">
      <v>170</v>
    </oc>
    <nc r="I9">
      <v>162</v>
    </nc>
  </rcc>
  <rcc rId="139023" sId="1">
    <oc r="K9">
      <v>160</v>
    </oc>
    <nc r="K9">
      <v>79</v>
    </nc>
  </rcc>
  <rcc rId="139024" sId="1">
    <oc r="L9">
      <v>15</v>
    </oc>
    <nc r="L9">
      <v>3</v>
    </nc>
  </rcc>
  <rcc rId="139025" sId="1">
    <oc r="M9" t="inlineStr">
      <is>
        <t>B20</t>
      </is>
    </oc>
    <nc r="M9" t="inlineStr">
      <is>
        <t>P11</t>
      </is>
    </nc>
  </rcc>
  <rcc rId="139026" sId="1">
    <oc r="N9">
      <v>20</v>
    </oc>
    <nc r="N9">
      <v>15</v>
    </nc>
  </rcc>
  <rcc rId="139027" sId="1">
    <oc r="O9" t="inlineStr">
      <is>
        <t>B</t>
      </is>
    </oc>
    <nc r="O9" t="inlineStr">
      <is>
        <t>A</t>
      </is>
    </nc>
  </rcc>
  <rcc rId="139028" sId="1">
    <oc r="G10" t="inlineStr">
      <is>
        <t>B38M</t>
      </is>
    </oc>
    <nc r="G10" t="inlineStr">
      <is>
        <t>A320</t>
      </is>
    </nc>
  </rcc>
  <rcc rId="139029" sId="1">
    <oc r="H10" t="inlineStr">
      <is>
        <t>A.A.G.</t>
      </is>
    </oc>
    <nc r="H10" t="inlineStr">
      <is>
        <t>JETBLUE</t>
      </is>
    </nc>
  </rcc>
  <rcc rId="139030" sId="1">
    <oc r="I10">
      <v>134</v>
    </oc>
    <nc r="I10">
      <v>200</v>
    </nc>
  </rcc>
  <rcc rId="139031" sId="1">
    <oc r="K10" t="inlineStr">
      <is>
        <t>N/A</t>
      </is>
    </oc>
    <nc r="K10">
      <v>74</v>
    </nc>
  </rcc>
  <rcc rId="139032" sId="1">
    <oc r="L10">
      <v>15</v>
    </oc>
    <nc r="L10">
      <v>1</v>
    </nc>
  </rcc>
  <rcc rId="139033" sId="1">
    <oc r="M10" t="inlineStr">
      <is>
        <t>B23</t>
      </is>
    </oc>
    <nc r="M10" t="inlineStr">
      <is>
        <t>P9</t>
      </is>
    </nc>
  </rcc>
  <rcc rId="139034" sId="1">
    <oc r="N10">
      <v>23</v>
    </oc>
    <nc r="N10">
      <v>11</v>
    </nc>
  </rcc>
  <rcc rId="139035" sId="1">
    <oc r="O10" t="inlineStr">
      <is>
        <t>B</t>
      </is>
    </oc>
    <nc r="O10" t="inlineStr">
      <is>
        <t>A</t>
      </is>
    </nc>
  </rcc>
  <rcc rId="139036" sId="1">
    <oc r="I11">
      <v>168</v>
    </oc>
    <nc r="I11">
      <v>174</v>
    </nc>
  </rcc>
  <rcc rId="139037" sId="1">
    <oc r="J11">
      <v>30</v>
    </oc>
    <nc r="J11">
      <v>59</v>
    </nc>
  </rcc>
  <rcc rId="139038" sId="1">
    <oc r="L11">
      <v>15</v>
    </oc>
    <nc r="L11">
      <v>12</v>
    </nc>
  </rcc>
  <rcc rId="139039" sId="1">
    <oc r="M11" t="inlineStr">
      <is>
        <t>B20</t>
      </is>
    </oc>
    <nc r="M11" t="inlineStr">
      <is>
        <t>B21</t>
      </is>
    </nc>
  </rcc>
  <rcc rId="139040" sId="1">
    <oc r="N11">
      <v>20</v>
    </oc>
    <nc r="N11">
      <v>21</v>
    </nc>
  </rcc>
  <rcc rId="139041" sId="1">
    <oc r="G12" t="inlineStr">
      <is>
        <t>A330</t>
      </is>
    </oc>
    <nc r="G12" t="inlineStr">
      <is>
        <t>A321</t>
      </is>
    </nc>
  </rcc>
  <rcc rId="139042" sId="1">
    <oc r="I12">
      <v>256</v>
    </oc>
    <nc r="I12">
      <v>213</v>
    </nc>
  </rcc>
  <rcc rId="139043" sId="1">
    <oc r="K12">
      <v>268</v>
    </oc>
    <nc r="K12">
      <v>43</v>
    </nc>
  </rcc>
  <rcc rId="139044" sId="1">
    <oc r="L12">
      <v>16</v>
    </oc>
    <nc r="L12">
      <v>2</v>
    </nc>
  </rcc>
  <rcc rId="139045" sId="1">
    <oc r="M12" t="inlineStr">
      <is>
        <t>B25</t>
      </is>
    </oc>
    <nc r="M12" t="inlineStr">
      <is>
        <t>P7</t>
      </is>
    </nc>
  </rcc>
  <rcc rId="139046" sId="1">
    <oc r="N12">
      <v>25</v>
    </oc>
    <nc r="N12">
      <v>6</v>
    </nc>
  </rcc>
  <rcc rId="139047" sId="1">
    <oc r="O12" t="inlineStr">
      <is>
        <t>B</t>
      </is>
    </oc>
    <nc r="O12" t="inlineStr">
      <is>
        <t>A</t>
      </is>
    </nc>
  </rcc>
  <rcc rId="139048" sId="1">
    <oc r="G13" t="inlineStr">
      <is>
        <t>B38M</t>
      </is>
    </oc>
    <nc r="G13" t="inlineStr">
      <is>
        <t>A321</t>
      </is>
    </nc>
  </rcc>
  <rcc rId="139049" sId="1">
    <oc r="H13" t="inlineStr">
      <is>
        <t>A.A.G.</t>
      </is>
    </oc>
    <nc r="H13" t="inlineStr">
      <is>
        <t>CARIPORTS</t>
      </is>
    </nc>
  </rcc>
  <rcc rId="139050" sId="1">
    <oc r="I13">
      <v>167</v>
    </oc>
    <nc r="I13">
      <v>235</v>
    </nc>
  </rcc>
  <rcc rId="139051" sId="1">
    <oc r="K13">
      <v>140</v>
    </oc>
    <nc r="K13">
      <v>123</v>
    </nc>
  </rcc>
  <rcc rId="139052" sId="1">
    <oc r="L13">
      <v>15</v>
    </oc>
    <nc r="L13">
      <v>3</v>
    </nc>
  </rcc>
  <rcc rId="139053" sId="1">
    <oc r="M13" t="inlineStr">
      <is>
        <t>B22</t>
      </is>
    </oc>
    <nc r="M13" t="inlineStr">
      <is>
        <t>P6</t>
      </is>
    </nc>
  </rcc>
  <rcc rId="139054" sId="1">
    <oc r="N13">
      <v>22</v>
    </oc>
    <nc r="N13">
      <v>4</v>
    </nc>
  </rcc>
  <rcc rId="139055" sId="1">
    <oc r="O13" t="inlineStr">
      <is>
        <t>B</t>
      </is>
    </oc>
    <nc r="O13" t="inlineStr">
      <is>
        <t>A</t>
      </is>
    </nc>
  </rcc>
  <rcc rId="139056" sId="1">
    <oc r="H14" t="inlineStr">
      <is>
        <t>CARIBE CARGO</t>
      </is>
    </oc>
    <nc r="H14" t="inlineStr">
      <is>
        <t>JETBLUE</t>
      </is>
    </nc>
  </rcc>
  <rcc rId="139057" sId="1">
    <oc r="I14" t="inlineStr">
      <is>
        <t>CARGA</t>
      </is>
    </oc>
    <nc r="I14">
      <v>162</v>
    </nc>
  </rcc>
  <rcc rId="139058" sId="1">
    <oc r="K14" t="inlineStr">
      <is>
        <t>CARGA</t>
      </is>
    </oc>
    <nc r="K14">
      <v>143</v>
    </nc>
  </rcc>
  <rcc rId="139059" sId="1">
    <oc r="L14" t="inlineStr">
      <is>
        <t>CARGA</t>
      </is>
    </oc>
    <nc r="L14">
      <v>5</v>
    </nc>
  </rcc>
  <rcc rId="139060" sId="1">
    <oc r="M14" t="inlineStr">
      <is>
        <t>C1</t>
      </is>
    </oc>
    <nc r="M14" t="inlineStr">
      <is>
        <t>P11</t>
      </is>
    </nc>
  </rcc>
  <rcc rId="139061" sId="1">
    <oc r="N14" t="inlineStr">
      <is>
        <t>CARGA</t>
      </is>
    </oc>
    <nc r="N14">
      <v>16</v>
    </nc>
  </rcc>
  <rcc rId="139062" sId="1">
    <oc r="O14" t="inlineStr">
      <is>
        <t>CARGA</t>
      </is>
    </oc>
    <nc r="O14" t="inlineStr">
      <is>
        <t>A</t>
      </is>
    </nc>
  </rcc>
  <rcc rId="139063" sId="1">
    <oc r="G15" t="inlineStr">
      <is>
        <t>A321</t>
      </is>
    </oc>
    <nc r="G15" t="inlineStr">
      <is>
        <t>B737</t>
      </is>
    </nc>
  </rcc>
  <rcc rId="139064" sId="1">
    <oc r="H15" t="inlineStr">
      <is>
        <t>CARIPORTS</t>
      </is>
    </oc>
    <nc r="H15" t="inlineStr">
      <is>
        <t>A.A.G.</t>
      </is>
    </nc>
  </rcc>
  <rcc rId="139065" sId="1">
    <oc r="I15">
      <v>173</v>
    </oc>
    <nc r="I15">
      <v>169</v>
    </nc>
  </rcc>
  <rcc rId="139066" sId="1">
    <oc r="K15">
      <v>221</v>
    </oc>
    <nc r="K15">
      <v>162</v>
    </nc>
  </rcc>
  <rcc rId="139067" sId="1">
    <oc r="L15">
      <v>6</v>
    </oc>
    <nc r="L15">
      <v>11</v>
    </nc>
  </rcc>
  <rcc rId="139068" sId="1">
    <oc r="M15" t="inlineStr">
      <is>
        <t>P8</t>
      </is>
    </oc>
    <nc r="M15" t="inlineStr">
      <is>
        <t>B26A</t>
      </is>
    </nc>
  </rcc>
  <rcc rId="139069" sId="1">
    <oc r="N15">
      <v>8</v>
    </oc>
    <nc r="N15">
      <v>26</v>
    </nc>
  </rcc>
  <rcc rId="139070" sId="1">
    <oc r="O15" t="inlineStr">
      <is>
        <t>A</t>
      </is>
    </oc>
    <nc r="O15" t="inlineStr">
      <is>
        <t>B</t>
      </is>
    </nc>
  </rcc>
  <rcc rId="139071" sId="1">
    <oc r="G16" t="inlineStr">
      <is>
        <t>B38M</t>
      </is>
    </oc>
    <nc r="G16" t="inlineStr">
      <is>
        <t>A321</t>
      </is>
    </nc>
  </rcc>
  <rcc rId="139072" sId="1">
    <oc r="H16" t="inlineStr">
      <is>
        <t>SERVAIR</t>
      </is>
    </oc>
    <nc r="H16" t="inlineStr">
      <is>
        <t>ENVOY</t>
      </is>
    </nc>
  </rcc>
  <rcc rId="139073" sId="1">
    <oc r="I16">
      <v>127</v>
    </oc>
    <nc r="I16">
      <v>185</v>
    </nc>
  </rcc>
  <rcc rId="139074" sId="1">
    <oc r="K16">
      <v>102</v>
    </oc>
    <nc r="K16">
      <v>167</v>
    </nc>
  </rcc>
  <rcc rId="139075" sId="1">
    <oc r="L16">
      <v>5</v>
    </oc>
    <nc r="L16">
      <v>15</v>
    </nc>
  </rcc>
  <rcc rId="139076" sId="1">
    <oc r="M16" t="inlineStr">
      <is>
        <t>P6</t>
      </is>
    </oc>
    <nc r="M16" t="inlineStr">
      <is>
        <t>B27</t>
      </is>
    </nc>
  </rcc>
  <rcc rId="139077" sId="1">
    <oc r="N16">
      <v>2</v>
    </oc>
    <nc r="N16">
      <v>27</v>
    </nc>
  </rcc>
  <rcc rId="139078" sId="1">
    <oc r="O16" t="inlineStr">
      <is>
        <t>A</t>
      </is>
    </oc>
    <nc r="O16" t="inlineStr">
      <is>
        <t>B</t>
      </is>
    </nc>
  </rcc>
  <rcc rId="139079" sId="1">
    <oc r="G17">
      <v>220</v>
    </oc>
    <nc r="G17" t="inlineStr">
      <is>
        <t>B738</t>
      </is>
    </nc>
  </rcc>
  <rcc rId="139080" sId="1">
    <oc r="H17" t="inlineStr">
      <is>
        <t>JETBLUE</t>
      </is>
    </oc>
    <nc r="H17" t="inlineStr">
      <is>
        <t>ENVOY</t>
      </is>
    </nc>
  </rcc>
  <rcc rId="139081" sId="1">
    <oc r="I17">
      <v>166</v>
    </oc>
    <nc r="I17">
      <v>158</v>
    </nc>
  </rcc>
  <rcc rId="139082" sId="1">
    <oc r="K17">
      <v>161</v>
    </oc>
    <nc r="K17">
      <v>152</v>
    </nc>
  </rcc>
  <rcc rId="139083" sId="1">
    <oc r="L17">
      <v>1</v>
    </oc>
    <nc r="L17">
      <v>15</v>
    </nc>
  </rcc>
  <rcc rId="139084" sId="1">
    <oc r="M17" t="inlineStr">
      <is>
        <t>P10</t>
      </is>
    </oc>
    <nc r="M17" t="inlineStr">
      <is>
        <t>B28</t>
      </is>
    </nc>
  </rcc>
  <rcc rId="139085" sId="1">
    <oc r="N17">
      <v>13</v>
    </oc>
    <nc r="N17">
      <v>28</v>
    </nc>
  </rcc>
  <rcc rId="139086" sId="1">
    <oc r="O17" t="inlineStr">
      <is>
        <t>A</t>
      </is>
    </oc>
    <nc r="O17" t="inlineStr">
      <is>
        <t>B</t>
      </is>
    </nc>
  </rcc>
  <rcc rId="139087" sId="1">
    <oc r="G18" t="inlineStr">
      <is>
        <t>A320</t>
      </is>
    </oc>
    <nc r="G18" t="inlineStr">
      <is>
        <t>A321</t>
      </is>
    </nc>
  </rcc>
  <rcc rId="139088" sId="1">
    <oc r="I18">
      <v>134</v>
    </oc>
    <nc r="I18">
      <v>200</v>
    </nc>
  </rcc>
  <rcc rId="139089" sId="1">
    <oc r="K18">
      <v>44</v>
    </oc>
    <nc r="K18">
      <v>178</v>
    </nc>
  </rcc>
  <rcc rId="139090" sId="1">
    <oc r="L18">
      <v>2</v>
    </oc>
    <nc r="L18">
      <v>1</v>
    </nc>
  </rcc>
  <rcc rId="139091" sId="1">
    <oc r="M18" t="inlineStr">
      <is>
        <t>P9</t>
      </is>
    </oc>
    <nc r="M18" t="inlineStr">
      <is>
        <t>P10</t>
      </is>
    </nc>
  </rcc>
  <rcc rId="139092" sId="1">
    <oc r="N18">
      <v>11</v>
    </oc>
    <nc r="N18">
      <v>13</v>
    </nc>
  </rcc>
  <rcc rId="139093" sId="1">
    <oc r="G19" t="inlineStr">
      <is>
        <t>A220</t>
      </is>
    </oc>
    <nc r="G19" t="inlineStr">
      <is>
        <t>A321</t>
      </is>
    </nc>
  </rcc>
  <rcc rId="139094" sId="1">
    <oc r="H19" t="inlineStr">
      <is>
        <t>SERVAIR</t>
      </is>
    </oc>
    <nc r="H19" t="inlineStr">
      <is>
        <t>ENVOY</t>
      </is>
    </nc>
  </rcc>
  <rcc rId="139095" sId="1">
    <oc r="I19">
      <v>100</v>
    </oc>
    <nc r="I19">
      <v>190</v>
    </nc>
  </rcc>
  <rcc rId="139096" sId="1">
    <oc r="K19">
      <v>90</v>
    </oc>
    <nc r="K19">
      <v>156</v>
    </nc>
  </rcc>
  <rcc rId="139097" sId="1">
    <oc r="L19">
      <v>5</v>
    </oc>
    <nc r="L19">
      <v>18</v>
    </nc>
  </rcc>
  <rcc rId="139098" sId="1">
    <oc r="M19" t="inlineStr">
      <is>
        <t>P11</t>
      </is>
    </oc>
    <nc r="M19" t="inlineStr">
      <is>
        <t>B30</t>
      </is>
    </nc>
  </rcc>
  <rcc rId="139099" sId="1">
    <oc r="N19">
      <v>15</v>
    </oc>
    <nc r="N19">
      <v>30</v>
    </nc>
  </rcc>
  <rcc rId="139100" sId="1">
    <oc r="O19" t="inlineStr">
      <is>
        <t>A</t>
      </is>
    </oc>
    <nc r="O19" t="inlineStr">
      <is>
        <t>B</t>
      </is>
    </nc>
  </rcc>
  <rcc rId="139101" sId="1">
    <oc r="I20">
      <v>199</v>
    </oc>
    <nc r="I20">
      <v>230</v>
    </nc>
  </rcc>
  <rcc rId="139102" sId="1">
    <oc r="K20">
      <v>150</v>
    </oc>
    <nc r="K20">
      <v>70</v>
    </nc>
  </rcc>
  <rcc rId="139103" sId="1">
    <oc r="M20" t="inlineStr">
      <is>
        <t>P7</t>
      </is>
    </oc>
    <nc r="M20" t="inlineStr">
      <is>
        <t>P5</t>
      </is>
    </nc>
  </rcc>
  <rcc rId="139104" sId="1">
    <oc r="I21">
      <v>163</v>
    </oc>
    <nc r="I21">
      <v>153</v>
    </nc>
  </rcc>
  <rcc rId="139105" sId="1">
    <oc r="K21">
      <v>163</v>
    </oc>
    <nc r="K21">
      <v>144</v>
    </nc>
  </rcc>
  <rcc rId="139106" sId="1">
    <oc r="L21">
      <v>15</v>
    </oc>
    <nc r="L21">
      <v>12</v>
    </nc>
  </rcc>
  <rcc rId="139107" sId="1">
    <oc r="M21" t="inlineStr">
      <is>
        <t>B20</t>
      </is>
    </oc>
    <nc r="M21" t="inlineStr">
      <is>
        <t>B24</t>
      </is>
    </nc>
  </rcc>
  <rcc rId="139108" sId="1">
    <oc r="N21">
      <v>20</v>
    </oc>
    <nc r="N21">
      <v>24</v>
    </nc>
  </rcc>
  <rcc rId="139109" sId="1">
    <oc r="G22" t="inlineStr">
      <is>
        <t>A321</t>
      </is>
    </oc>
    <nc r="G22" t="inlineStr">
      <is>
        <t>B38M</t>
      </is>
    </nc>
  </rcc>
  <rcc rId="139110" sId="1">
    <oc r="H22" t="inlineStr">
      <is>
        <t>ENVOY</t>
      </is>
    </oc>
    <nc r="H22" t="inlineStr">
      <is>
        <t>A.A.G.</t>
      </is>
    </nc>
  </rcc>
  <rcc rId="139111" sId="1">
    <oc r="I22">
      <v>182</v>
    </oc>
    <nc r="I22">
      <v>152</v>
    </nc>
  </rcc>
  <rcc rId="139112" sId="1">
    <oc r="J22" t="inlineStr">
      <is>
        <t>N/A</t>
      </is>
    </oc>
    <nc r="J22">
      <v>45</v>
    </nc>
  </rcc>
  <rcc rId="139113" sId="1">
    <oc r="K22">
      <v>192</v>
    </oc>
    <nc r="K22">
      <v>175</v>
    </nc>
  </rcc>
  <rcc rId="139114" sId="1">
    <oc r="L22">
      <v>18</v>
    </oc>
    <nc r="L22">
      <v>13</v>
    </nc>
  </rcc>
  <rcc rId="139115" sId="1">
    <oc r="M22" t="inlineStr">
      <is>
        <t>B28</t>
      </is>
    </oc>
    <nc r="M22" t="inlineStr">
      <is>
        <t>B23B</t>
      </is>
    </nc>
  </rcc>
  <rcc rId="139116" sId="1">
    <oc r="N22">
      <v>28</v>
    </oc>
    <nc r="N22">
      <v>23</v>
    </nc>
  </rcc>
  <rcc rId="139117" sId="1">
    <oc r="I23">
      <v>153</v>
    </oc>
    <nc r="I23">
      <v>172</v>
    </nc>
  </rcc>
  <rcc rId="139118" sId="1">
    <oc r="K23">
      <v>151</v>
    </oc>
    <nc r="K23">
      <v>129</v>
    </nc>
  </rcc>
  <rcc rId="139119" sId="1">
    <oc r="L23">
      <v>16</v>
    </oc>
    <nc r="L23">
      <v>17</v>
    </nc>
  </rcc>
  <rcc rId="139120" sId="1">
    <oc r="M23" t="inlineStr">
      <is>
        <t>B27</t>
      </is>
    </oc>
    <nc r="M23" t="inlineStr">
      <is>
        <t>B32</t>
      </is>
    </nc>
  </rcc>
  <rcc rId="139121" sId="1">
    <oc r="N23">
      <v>27</v>
    </oc>
    <nc r="N23">
      <v>32</v>
    </nc>
  </rcc>
  <rcc rId="139122" sId="1">
    <oc r="G24" t="inlineStr">
      <is>
        <t>B738</t>
      </is>
    </oc>
    <nc r="G24" t="inlineStr">
      <is>
        <t>B38M</t>
      </is>
    </nc>
  </rcc>
  <rcc rId="139123" sId="1">
    <oc r="H24" t="inlineStr">
      <is>
        <t>ENVOY</t>
      </is>
    </oc>
    <nc r="H24" t="inlineStr">
      <is>
        <t>A.A.G.</t>
      </is>
    </nc>
  </rcc>
  <rcc rId="139124" sId="1">
    <oc r="I24">
      <v>164</v>
    </oc>
    <nc r="I24">
      <v>144</v>
    </nc>
  </rcc>
  <rcc rId="139125" sId="1">
    <oc r="J24" t="inlineStr">
      <is>
        <t>N/A</t>
      </is>
    </oc>
    <nc r="J24">
      <v>7</v>
    </nc>
  </rcc>
  <rcc rId="139126" sId="1">
    <oc r="K24">
      <v>161</v>
    </oc>
    <nc r="K24">
      <v>116</v>
    </nc>
  </rcc>
  <rcc rId="139127" sId="1">
    <oc r="L24">
      <v>17</v>
    </oc>
    <nc r="L24">
      <v>11</v>
    </nc>
  </rcc>
  <rcc rId="139128" sId="1">
    <oc r="M24" t="inlineStr">
      <is>
        <t>B30</t>
      </is>
    </oc>
    <nc r="M24" t="inlineStr">
      <is>
        <t>B25</t>
      </is>
    </nc>
  </rcc>
  <rcc rId="139129" sId="1">
    <oc r="N24">
      <v>30</v>
    </oc>
    <nc r="N24">
      <v>25</v>
    </nc>
  </rcc>
  <rcc rId="139130" sId="1">
    <oc r="G25" t="inlineStr">
      <is>
        <t>B737</t>
      </is>
    </oc>
    <nc r="G25" t="inlineStr">
      <is>
        <t>B38M</t>
      </is>
    </nc>
  </rcc>
  <rcc rId="139131" sId="1">
    <oc r="I25">
      <v>168</v>
    </oc>
    <nc r="I25">
      <v>128</v>
    </nc>
  </rcc>
  <rcc rId="139132" sId="1">
    <oc r="J25" t="inlineStr">
      <is>
        <t>N/A</t>
      </is>
    </oc>
    <nc r="J25">
      <v>28</v>
    </nc>
  </rcc>
  <rcc rId="139133" sId="1">
    <oc r="K25">
      <v>164</v>
    </oc>
    <nc r="K25">
      <v>165</v>
    </nc>
  </rcc>
  <rcc rId="139134" sId="1">
    <oc r="L25">
      <v>15</v>
    </oc>
    <nc r="L25">
      <v>11</v>
    </nc>
  </rcc>
  <rcc rId="139135" sId="1">
    <oc r="M25" t="inlineStr">
      <is>
        <t>B24</t>
      </is>
    </oc>
    <nc r="M25" t="inlineStr">
      <is>
        <t>B36</t>
      </is>
    </nc>
  </rcc>
  <rcc rId="139136" sId="1">
    <oc r="N25">
      <v>24</v>
    </oc>
    <nc r="N25" t="inlineStr">
      <is>
        <t>26F</t>
      </is>
    </nc>
  </rcc>
  <rcc rId="139137" sId="1">
    <oc r="H26" t="inlineStr">
      <is>
        <t>CARIPORTS</t>
      </is>
    </oc>
    <nc r="H26" t="inlineStr">
      <is>
        <t>AVIANCA</t>
      </is>
    </nc>
  </rcc>
  <rcc rId="139138" sId="1">
    <oc r="I26">
      <v>161</v>
    </oc>
    <nc r="I26">
      <v>165</v>
    </nc>
  </rcc>
  <rcc rId="139139" sId="1">
    <oc r="K26">
      <v>124</v>
    </oc>
    <nc r="K26">
      <v>158</v>
    </nc>
  </rcc>
  <rcc rId="139140" sId="1">
    <oc r="L26">
      <v>1</v>
    </oc>
    <nc r="L26">
      <v>5</v>
    </nc>
  </rcc>
  <rcc rId="139141" sId="1">
    <oc r="M26" t="inlineStr">
      <is>
        <t>P5</t>
      </is>
    </oc>
    <nc r="M26" t="inlineStr">
      <is>
        <t>P8A</t>
      </is>
    </nc>
  </rcc>
  <rcc rId="139142" sId="1">
    <oc r="N26">
      <v>6</v>
    </oc>
    <nc r="N26">
      <v>7</v>
    </nc>
  </rcc>
  <rcc rId="139143" sId="1">
    <oc r="G27" t="inlineStr">
      <is>
        <t>A320</t>
      </is>
    </oc>
    <nc r="G27" t="inlineStr">
      <is>
        <t>B38M</t>
      </is>
    </nc>
  </rcc>
  <rcc rId="139144" sId="1">
    <oc r="H27" t="inlineStr">
      <is>
        <t>CARIPORTS</t>
      </is>
    </oc>
    <nc r="H27" t="inlineStr">
      <is>
        <t>A.A.G.</t>
      </is>
    </nc>
  </rcc>
  <rcc rId="139145" sId="1">
    <oc r="I27">
      <v>154</v>
    </oc>
    <nc r="I27">
      <v>156</v>
    </nc>
  </rcc>
  <rcc rId="139146" sId="1">
    <oc r="J27" t="inlineStr">
      <is>
        <t>N/A</t>
      </is>
    </oc>
    <nc r="J27">
      <v>7</v>
    </nc>
  </rcc>
  <rcc rId="139147" sId="1">
    <oc r="K27">
      <v>107</v>
    </oc>
    <nc r="K27">
      <v>148</v>
    </nc>
  </rcc>
  <rcc rId="139148" sId="1">
    <oc r="L27">
      <v>5</v>
    </oc>
    <nc r="L27">
      <v>13</v>
    </nc>
  </rcc>
  <rcc rId="139149" sId="1">
    <oc r="M27" t="inlineStr">
      <is>
        <t>P4</t>
      </is>
    </oc>
    <nc r="M27" t="inlineStr">
      <is>
        <t>P29</t>
      </is>
    </nc>
  </rcc>
  <rcc rId="139150" sId="1">
    <oc r="N27">
      <v>4</v>
    </oc>
    <nc r="N27" t="inlineStr">
      <is>
        <t>26C</t>
      </is>
    </nc>
  </rcc>
  <rcc rId="139151" sId="1">
    <oc r="O27" t="inlineStr">
      <is>
        <t>A</t>
      </is>
    </oc>
    <nc r="O27" t="inlineStr">
      <is>
        <t>B</t>
      </is>
    </nc>
  </rcc>
  <rcc rId="139152" sId="1">
    <oc r="G28" t="inlineStr">
      <is>
        <t>B738</t>
      </is>
    </oc>
    <nc r="G28" t="inlineStr">
      <is>
        <t>A321</t>
      </is>
    </nc>
  </rcc>
  <rcc rId="139153" sId="1">
    <oc r="H28" t="inlineStr">
      <is>
        <t>ENVOY</t>
      </is>
    </oc>
    <nc r="H28" t="inlineStr">
      <is>
        <t>SERVAIR</t>
      </is>
    </nc>
  </rcc>
  <rcc rId="139154" sId="1">
    <oc r="I28">
      <v>153</v>
    </oc>
    <nc r="I28">
      <v>187</v>
    </nc>
  </rcc>
  <rcc rId="139155" sId="1">
    <oc r="K28">
      <v>173</v>
    </oc>
    <nc r="K28">
      <v>183</v>
    </nc>
  </rcc>
  <rcc rId="139156" sId="1">
    <oc r="G29" t="inlineStr">
      <is>
        <t>A320</t>
      </is>
    </oc>
    <nc r="G29" t="inlineStr">
      <is>
        <t>B38M</t>
      </is>
    </nc>
  </rcc>
  <rcc rId="139157" sId="1">
    <oc r="H29" t="inlineStr">
      <is>
        <t>AVIANCA</t>
      </is>
    </oc>
    <nc r="H29" t="inlineStr">
      <is>
        <t>A.A.G.</t>
      </is>
    </nc>
  </rcc>
  <rcc rId="139158" sId="1">
    <oc r="I29">
      <v>170</v>
    </oc>
    <nc r="I29">
      <v>98</v>
    </nc>
  </rcc>
  <rcc rId="139159" sId="1">
    <oc r="J29" t="inlineStr">
      <is>
        <t>N/A</t>
      </is>
    </oc>
    <nc r="J29">
      <v>48</v>
    </nc>
  </rcc>
  <rcc rId="139160" sId="1">
    <oc r="K29">
      <v>155</v>
    </oc>
    <nc r="K29">
      <v>144</v>
    </nc>
  </rcc>
  <rcc rId="139161" sId="1">
    <oc r="L29">
      <v>6</v>
    </oc>
    <nc r="L29">
      <v>12</v>
    </nc>
  </rcc>
  <rcc rId="139162" sId="1">
    <oc r="M29" t="inlineStr">
      <is>
        <t>P8A</t>
      </is>
    </oc>
    <nc r="M29" t="inlineStr">
      <is>
        <t>B37</t>
      </is>
    </nc>
  </rcc>
  <rcc rId="139163" sId="1">
    <oc r="N29">
      <v>8</v>
    </oc>
    <nc r="N29" t="inlineStr">
      <is>
        <t>26D</t>
      </is>
    </nc>
  </rcc>
  <rcc rId="139164" sId="1">
    <oc r="O29" t="inlineStr">
      <is>
        <t>A</t>
      </is>
    </oc>
    <nc r="O29" t="inlineStr">
      <is>
        <t>B</t>
      </is>
    </nc>
  </rcc>
  <rcc rId="139165" sId="1">
    <nc r="H30" t="inlineStr">
      <is>
        <t>TRADING AVIATION</t>
      </is>
    </nc>
  </rcc>
  <rcc rId="139166" sId="1">
    <oc r="I30">
      <v>180</v>
    </oc>
    <nc r="I30">
      <v>154</v>
    </nc>
  </rcc>
  <rcc rId="139167" sId="1">
    <oc r="K30">
      <v>165</v>
    </oc>
    <nc r="K30">
      <v>175</v>
    </nc>
  </rcc>
  <rcc rId="139168" sId="1">
    <oc r="M30" t="inlineStr">
      <is>
        <t>P10</t>
      </is>
    </oc>
    <nc r="M30" t="inlineStr">
      <is>
        <t>P11</t>
      </is>
    </nc>
  </rcc>
  <rcc rId="139169" sId="1">
    <oc r="N30">
      <v>14</v>
    </oc>
    <nc r="N30">
      <v>15</v>
    </nc>
  </rcc>
  <rcc rId="139170" sId="1">
    <oc r="G31" t="inlineStr">
      <is>
        <t>A321</t>
      </is>
    </oc>
    <nc r="G31" t="inlineStr">
      <is>
        <t>B737</t>
      </is>
    </nc>
  </rcc>
  <rcc rId="139171" sId="1">
    <oc r="H31" t="inlineStr">
      <is>
        <t>JETBLUE</t>
      </is>
    </oc>
    <nc r="H31" t="inlineStr">
      <is>
        <t>A.A.G.</t>
      </is>
    </nc>
  </rcc>
  <rcc rId="139172" sId="1">
    <oc r="I31">
      <v>198</v>
    </oc>
    <nc r="I31">
      <v>172</v>
    </nc>
  </rcc>
  <rcc rId="139173" sId="1">
    <oc r="K31">
      <v>190</v>
    </oc>
    <nc r="K31">
      <v>154</v>
    </nc>
  </rcc>
  <rcc rId="139174" sId="1">
    <oc r="L31">
      <v>1</v>
    </oc>
    <nc r="L31">
      <v>12</v>
    </nc>
  </rcc>
  <rcc rId="139175" sId="1">
    <oc r="M31" t="inlineStr">
      <is>
        <t>P3</t>
      </is>
    </oc>
    <nc r="M31" t="inlineStr">
      <is>
        <t>B20</t>
      </is>
    </nc>
  </rcc>
  <rcc rId="139176" sId="1">
    <oc r="N31">
      <v>2</v>
    </oc>
    <nc r="N31">
      <v>20</v>
    </nc>
  </rcc>
  <rcc rId="139177" sId="1">
    <oc r="O31" t="inlineStr">
      <is>
        <t>A</t>
      </is>
    </oc>
    <nc r="O31" t="inlineStr">
      <is>
        <t>B</t>
      </is>
    </nc>
  </rcc>
  <rcc rId="139178" sId="1">
    <oc r="H32" t="inlineStr">
      <is>
        <t>TRADING AVIATION</t>
      </is>
    </oc>
    <nc r="H32" t="inlineStr">
      <is>
        <t>AVIANCA</t>
      </is>
    </nc>
  </rcc>
  <rcc rId="139179" sId="1">
    <oc r="I32">
      <v>183</v>
    </oc>
    <nc r="I32">
      <v>160</v>
    </nc>
  </rcc>
  <rcc rId="139180" sId="1">
    <oc r="L32">
      <v>2</v>
    </oc>
    <nc r="L32">
      <v>3</v>
    </nc>
  </rcc>
  <rcc rId="139181" sId="1">
    <oc r="M32" t="inlineStr">
      <is>
        <t>P11</t>
      </is>
    </oc>
    <nc r="M32" t="inlineStr">
      <is>
        <t>P4</t>
      </is>
    </nc>
  </rcc>
  <rcc rId="139182" sId="1">
    <oc r="N32">
      <v>16</v>
    </oc>
    <nc r="N32">
      <v>5</v>
    </nc>
  </rcc>
  <rcc rId="139183" sId="1">
    <oc r="G33" t="inlineStr">
      <is>
        <t>A321</t>
      </is>
    </oc>
    <nc r="G33" t="inlineStr">
      <is>
        <t>B38M</t>
      </is>
    </nc>
  </rcc>
  <rcc rId="139184" sId="1">
    <oc r="H33" t="inlineStr">
      <is>
        <t>SERVAIR</t>
      </is>
    </oc>
    <nc r="H33" t="inlineStr">
      <is>
        <t>A.A.G.</t>
      </is>
    </nc>
  </rcc>
  <rcc rId="139185" sId="1">
    <oc r="I33">
      <v>184</v>
    </oc>
    <nc r="I33">
      <v>147</v>
    </nc>
  </rcc>
  <rcc rId="139186" sId="1">
    <oc r="J33" t="inlineStr">
      <is>
        <t>N/A</t>
      </is>
    </oc>
    <nc r="J33">
      <v>15</v>
    </nc>
  </rcc>
  <rcc rId="139187" sId="1">
    <oc r="K33">
      <v>183</v>
    </oc>
    <nc r="K33">
      <v>105</v>
    </nc>
  </rcc>
  <rcc rId="139188" sId="1">
    <oc r="L33">
      <v>17</v>
    </oc>
    <nc r="L33">
      <v>11</v>
    </nc>
  </rcc>
  <rcc rId="139189" sId="1">
    <oc r="M33" t="inlineStr">
      <is>
        <t>B32</t>
      </is>
    </oc>
    <nc r="M33" t="inlineStr">
      <is>
        <t>B23A</t>
      </is>
    </nc>
  </rcc>
  <rcc rId="139190" sId="1">
    <oc r="N33">
      <v>32</v>
    </oc>
    <nc r="N33" t="inlineStr">
      <is>
        <t>26C</t>
      </is>
    </nc>
  </rcc>
  <rcc rId="139191" sId="1">
    <oc r="G34" t="inlineStr">
      <is>
        <t>B737</t>
      </is>
    </oc>
    <nc r="G34" t="inlineStr">
      <is>
        <t>A320</t>
      </is>
    </nc>
  </rcc>
  <rcc rId="139192" sId="1">
    <oc r="H34" t="inlineStr">
      <is>
        <t>A.A.G.</t>
      </is>
    </oc>
    <nc r="H34" t="inlineStr">
      <is>
        <t>JETBLUE</t>
      </is>
    </nc>
  </rcc>
  <rcc rId="139193" sId="1">
    <oc r="I34">
      <v>168</v>
    </oc>
    <nc r="I34">
      <v>162</v>
    </nc>
  </rcc>
  <rcc rId="139194" sId="1">
    <oc r="K34">
      <v>155</v>
    </oc>
    <nc r="K34">
      <v>140</v>
    </nc>
  </rcc>
  <rcc rId="139195" sId="1">
    <oc r="L34">
      <v>11</v>
    </oc>
    <nc r="L34">
      <v>2</v>
    </nc>
  </rcc>
  <rcc rId="139196" sId="1">
    <oc r="M34" t="inlineStr">
      <is>
        <t>B22</t>
      </is>
    </oc>
    <nc r="M34" t="inlineStr">
      <is>
        <t>P9</t>
      </is>
    </nc>
  </rcc>
  <rcc rId="139197" sId="1">
    <oc r="N34">
      <v>22</v>
    </oc>
    <nc r="N34">
      <v>11</v>
    </nc>
  </rcc>
  <rcc rId="139198" sId="1">
    <oc r="O34" t="inlineStr">
      <is>
        <t>B</t>
      </is>
    </oc>
    <nc r="O34" t="inlineStr">
      <is>
        <t>A</t>
      </is>
    </nc>
  </rcc>
  <rcc rId="139199" sId="1">
    <oc r="G35" t="inlineStr">
      <is>
        <t>A320</t>
      </is>
    </oc>
    <nc r="G35" t="inlineStr">
      <is>
        <t>B789</t>
      </is>
    </nc>
  </rcc>
  <rcc rId="139200" sId="1">
    <oc r="H35" t="inlineStr">
      <is>
        <t>AVIANCA</t>
      </is>
    </oc>
    <nc r="H35" t="inlineStr">
      <is>
        <t>E.T HEINSEN</t>
      </is>
    </nc>
  </rcc>
  <rcc rId="139201" sId="1">
    <oc r="I35">
      <v>167</v>
    </oc>
    <nc r="I35">
      <v>253</v>
    </nc>
  </rcc>
  <rcc rId="139202" sId="1">
    <oc r="K35">
      <v>161</v>
    </oc>
    <nc r="K35">
      <v>277</v>
    </nc>
  </rcc>
  <rcc rId="139203" sId="1">
    <oc r="L35">
      <v>6</v>
    </oc>
    <nc r="L35">
      <v>1</v>
    </nc>
  </rcc>
  <rcc rId="139204" sId="1">
    <oc r="M35" t="inlineStr">
      <is>
        <t>P6</t>
      </is>
    </oc>
    <nc r="M35" t="inlineStr">
      <is>
        <t>P7</t>
      </is>
    </nc>
  </rcc>
  <rcc rId="139205" sId="1">
    <oc r="N35">
      <v>3</v>
    </oc>
    <nc r="N35">
      <v>12</v>
    </nc>
  </rcc>
  <rcc rId="139206" sId="1">
    <oc r="G36" t="inlineStr">
      <is>
        <t>B38M</t>
      </is>
    </oc>
    <nc r="G36" t="inlineStr">
      <is>
        <t>A320</t>
      </is>
    </nc>
  </rcc>
  <rcc rId="139207" sId="1">
    <oc r="H36" t="inlineStr">
      <is>
        <t>TRADING AVIATION</t>
      </is>
    </oc>
    <nc r="H36" t="inlineStr">
      <is>
        <t>JETBLUE</t>
      </is>
    </nc>
  </rcc>
  <rcc rId="139208" sId="1">
    <oc r="I36">
      <v>171</v>
    </oc>
    <nc r="I36">
      <v>162</v>
    </nc>
  </rcc>
  <rcc rId="139209" sId="1">
    <oc r="K36">
      <v>168</v>
    </oc>
    <nc r="K36">
      <v>89</v>
    </nc>
  </rcc>
  <rcc rId="139210" sId="1">
    <oc r="L36">
      <v>13</v>
    </oc>
    <nc r="L36">
      <v>6</v>
    </nc>
  </rcc>
  <rcc rId="139211" sId="1">
    <oc r="M36" t="inlineStr">
      <is>
        <t>B26A</t>
      </is>
    </oc>
    <nc r="M36" t="inlineStr">
      <is>
        <t>P6</t>
      </is>
    </nc>
  </rcc>
  <rcc rId="139212" sId="1">
    <oc r="N36">
      <v>26</v>
    </oc>
    <nc r="N36">
      <v>9</v>
    </nc>
  </rcc>
  <rcc rId="139213" sId="1">
    <oc r="O36" t="inlineStr">
      <is>
        <t>B</t>
      </is>
    </oc>
    <nc r="O36" t="inlineStr">
      <is>
        <t>A</t>
      </is>
    </nc>
  </rcc>
  <rcc rId="139214" sId="1">
    <oc r="G37">
      <v>220</v>
    </oc>
    <nc r="G37" t="inlineStr">
      <is>
        <t>B39M</t>
      </is>
    </nc>
  </rcc>
  <rcc rId="139215" sId="1">
    <oc r="H37" t="inlineStr">
      <is>
        <t>JETBLUE</t>
      </is>
    </oc>
    <nc r="H37" t="inlineStr">
      <is>
        <t>UNITED</t>
      </is>
    </nc>
  </rcc>
  <rcc rId="139216" sId="1">
    <oc r="I37">
      <v>144</v>
    </oc>
    <nc r="I37">
      <v>166</v>
    </nc>
  </rcc>
  <rcc rId="139217" sId="1">
    <oc r="K37">
      <v>147</v>
    </oc>
    <nc r="K37">
      <v>142</v>
    </nc>
  </rcc>
  <rcc rId="139218" sId="1">
    <oc r="L37">
      <v>3</v>
    </oc>
    <nc r="L37">
      <v>13</v>
    </nc>
  </rcc>
  <rcc rId="139219" sId="1">
    <oc r="M37" t="inlineStr">
      <is>
        <t>P9</t>
      </is>
    </oc>
    <nc r="M37" t="inlineStr">
      <is>
        <t>B26A</t>
      </is>
    </nc>
  </rcc>
  <rcc rId="139220" sId="1">
    <oc r="N37">
      <v>10</v>
    </oc>
    <nc r="N37">
      <v>26</v>
    </nc>
  </rcc>
  <rcc rId="139221" sId="1">
    <oc r="O37" t="inlineStr">
      <is>
        <t>A</t>
      </is>
    </oc>
    <nc r="O37" t="inlineStr">
      <is>
        <t>B</t>
      </is>
    </nc>
  </rcc>
  <rcc rId="139222" sId="1">
    <oc r="G38" t="inlineStr">
      <is>
        <t>B789</t>
      </is>
    </oc>
    <nc r="G38" t="inlineStr">
      <is>
        <t>A320</t>
      </is>
    </nc>
  </rcc>
  <rcc rId="139223" sId="1">
    <oc r="H38" t="inlineStr">
      <is>
        <t>E.T HEINSEN</t>
      </is>
    </oc>
    <nc r="H38" t="inlineStr">
      <is>
        <t>SERVAIR</t>
      </is>
    </nc>
  </rcc>
  <rcc rId="139224" sId="1">
    <oc r="I38">
      <v>118</v>
    </oc>
    <nc r="I38">
      <v>193</v>
    </nc>
  </rcc>
  <rcc rId="139225" sId="1">
    <oc r="K38">
      <v>222</v>
    </oc>
    <nc r="K38">
      <v>179</v>
    </nc>
  </rcc>
  <rcc rId="139226" sId="1">
    <oc r="L38">
      <v>1</v>
    </oc>
    <nc r="L38">
      <v>17</v>
    </nc>
  </rcc>
  <rcc rId="139227" sId="1">
    <oc r="M38" t="inlineStr">
      <is>
        <t>P7</t>
      </is>
    </oc>
    <nc r="M38" t="inlineStr">
      <is>
        <t>B32</t>
      </is>
    </nc>
  </rcc>
  <rcc rId="139228" sId="1">
    <oc r="N38">
      <v>12</v>
    </oc>
    <nc r="N38">
      <v>32</v>
    </nc>
  </rcc>
  <rcc rId="139229" sId="1">
    <oc r="O38" t="inlineStr">
      <is>
        <t>A</t>
      </is>
    </oc>
    <nc r="O38" t="inlineStr">
      <is>
        <t>B</t>
      </is>
    </nc>
  </rcc>
  <rcc rId="139230" sId="1">
    <oc r="G39" t="inlineStr">
      <is>
        <t>B39M</t>
      </is>
    </oc>
    <nc r="G39" t="inlineStr">
      <is>
        <t>A320</t>
      </is>
    </nc>
  </rcc>
  <rcc rId="139231" sId="1">
    <oc r="H39" t="inlineStr">
      <is>
        <t>UNITED</t>
      </is>
    </oc>
    <nc r="H39" t="inlineStr">
      <is>
        <t>JETBLUE</t>
      </is>
    </nc>
  </rcc>
  <rcc rId="139232" sId="1">
    <oc r="I39">
      <v>175</v>
    </oc>
    <nc r="I39">
      <v>162</v>
    </nc>
  </rcc>
  <rcc rId="139233" sId="1">
    <oc r="K39">
      <v>175</v>
    </oc>
    <nc r="K39">
      <v>37</v>
    </nc>
  </rcc>
  <rcc rId="139234" sId="1">
    <oc r="L39">
      <v>13</v>
    </oc>
    <nc r="L39">
      <v>5</v>
    </nc>
  </rcc>
  <rcc rId="139235" sId="1">
    <oc r="M39" t="inlineStr">
      <is>
        <t>B25</t>
      </is>
    </oc>
    <nc r="M39" t="inlineStr">
      <is>
        <t>P10</t>
      </is>
    </nc>
  </rcc>
  <rcc rId="139236" sId="1">
    <oc r="N39">
      <v>25</v>
    </oc>
    <nc r="N39">
      <v>14</v>
    </nc>
  </rcc>
  <rcc rId="139237" sId="1">
    <oc r="O39" t="inlineStr">
      <is>
        <t>B</t>
      </is>
    </oc>
    <nc r="O39" t="inlineStr">
      <is>
        <t>A</t>
      </is>
    </nc>
  </rcc>
  <rcc rId="139238" sId="1">
    <oc r="G40" t="inlineStr">
      <is>
        <t>B738</t>
      </is>
    </oc>
    <nc r="G40" t="inlineStr">
      <is>
        <t>B38M</t>
      </is>
    </nc>
  </rcc>
  <rcc rId="139239" sId="1">
    <oc r="H40" t="inlineStr">
      <is>
        <t>A.A.G.</t>
      </is>
    </oc>
    <nc r="H40" t="inlineStr">
      <is>
        <t>SERVAIR</t>
      </is>
    </nc>
  </rcc>
  <rcc rId="139240" sId="1">
    <oc r="I40">
      <v>163</v>
    </oc>
    <nc r="I40">
      <v>64</v>
    </nc>
  </rcc>
  <rcc rId="139241" sId="1">
    <oc r="K40">
      <v>160</v>
    </oc>
    <nc r="K40">
      <v>69</v>
    </nc>
  </rcc>
  <rcc rId="139242" sId="1">
    <oc r="L40">
      <v>12</v>
    </oc>
    <nc r="L40">
      <v>3</v>
    </nc>
  </rcc>
  <rcc rId="139243" sId="1">
    <oc r="M40" t="inlineStr">
      <is>
        <t>B20</t>
      </is>
    </oc>
    <nc r="M40" t="inlineStr">
      <is>
        <t>P2</t>
      </is>
    </nc>
  </rcc>
  <rcc rId="139244" sId="1">
    <oc r="N40">
      <v>20</v>
    </oc>
    <nc r="N40">
      <v>2</v>
    </nc>
  </rcc>
  <rcc rId="139245" sId="1">
    <oc r="O40" t="inlineStr">
      <is>
        <t>B</t>
      </is>
    </oc>
    <nc r="O40" t="inlineStr">
      <is>
        <t>A</t>
      </is>
    </nc>
  </rcc>
  <rcc rId="139246" sId="1">
    <oc r="G41" t="inlineStr">
      <is>
        <t>A320</t>
      </is>
    </oc>
    <nc r="G41" t="inlineStr">
      <is>
        <t>B737</t>
      </is>
    </nc>
  </rcc>
  <rcc rId="139247" sId="1">
    <oc r="H41" t="inlineStr">
      <is>
        <t>SERVAIR</t>
      </is>
    </oc>
    <nc r="H41" t="inlineStr">
      <is>
        <t>TRADING AVIATION</t>
      </is>
    </nc>
  </rcc>
  <rcc rId="139248" sId="1">
    <oc r="I41">
      <v>187</v>
    </oc>
    <nc r="I41">
      <v>180</v>
    </nc>
  </rcc>
  <rcc rId="139249" sId="1">
    <oc r="K41">
      <v>183</v>
    </oc>
    <nc r="K41">
      <v>147</v>
    </nc>
  </rcc>
  <rcc rId="139250" sId="1">
    <oc r="L41">
      <v>15</v>
    </oc>
    <nc r="L41">
      <v>11</v>
    </nc>
  </rcc>
  <rcc rId="139251" sId="1">
    <oc r="M41" t="inlineStr">
      <is>
        <t>B31</t>
      </is>
    </oc>
    <nc r="M41" t="inlineStr">
      <is>
        <t>B24</t>
      </is>
    </nc>
  </rcc>
  <rcc rId="139252" sId="1">
    <oc r="N41">
      <v>31</v>
    </oc>
    <nc r="N41">
      <v>24</v>
    </nc>
  </rcc>
  <rcc rId="139253" sId="1">
    <oc r="G42" t="inlineStr">
      <is>
        <t>B738</t>
      </is>
    </oc>
    <nc r="G42" t="inlineStr">
      <is>
        <t>B38M</t>
      </is>
    </nc>
  </rcc>
  <rcc rId="139254" sId="1">
    <oc r="H42" t="inlineStr">
      <is>
        <t>ENVOY</t>
      </is>
    </oc>
    <nc r="H42" t="inlineStr">
      <is>
        <t>SERVAIR</t>
      </is>
    </nc>
  </rcc>
  <rcc rId="139255" sId="1">
    <oc r="I42">
      <v>160</v>
    </oc>
    <nc r="I42">
      <v>83</v>
    </nc>
  </rcc>
  <rcc rId="139256" sId="1">
    <oc r="K42">
      <v>167</v>
    </oc>
    <nc r="K42">
      <v>73</v>
    </nc>
  </rcc>
  <rcc rId="139257" sId="1">
    <oc r="L42">
      <v>14</v>
    </oc>
    <nc r="L42">
      <v>2</v>
    </nc>
  </rcc>
  <rcc rId="139258" sId="1">
    <oc r="M42" t="inlineStr">
      <is>
        <t>B28</t>
      </is>
    </oc>
    <nc r="M42" t="inlineStr">
      <is>
        <t>P5</t>
      </is>
    </nc>
  </rcc>
  <rcc rId="139259" sId="1">
    <oc r="N42">
      <v>28</v>
    </oc>
    <nc r="N42">
      <v>4</v>
    </nc>
  </rcc>
  <rcc rId="139260" sId="1">
    <oc r="O42" t="inlineStr">
      <is>
        <t>B</t>
      </is>
    </oc>
    <nc r="O42" t="inlineStr">
      <is>
        <t>A</t>
      </is>
    </nc>
  </rcc>
  <rcc rId="139261" sId="1">
    <oc r="G43" t="inlineStr">
      <is>
        <t>A320</t>
      </is>
    </oc>
    <nc r="G43" t="inlineStr">
      <is>
        <t>B39M</t>
      </is>
    </nc>
  </rcc>
  <rcc rId="139262" sId="1">
    <oc r="H43" t="inlineStr">
      <is>
        <t>JETBLUE</t>
      </is>
    </oc>
    <nc r="H43" t="inlineStr">
      <is>
        <t>UNITED</t>
      </is>
    </nc>
  </rcc>
  <rcc rId="139263" sId="1">
    <oc r="I43">
      <v>151</v>
    </oc>
    <nc r="I43">
      <v>179</v>
    </nc>
  </rcc>
  <rcc rId="139264" sId="1">
    <oc r="K43">
      <v>155</v>
    </oc>
    <nc r="K43">
      <v>171</v>
    </nc>
  </rcc>
  <rcc rId="139265" sId="1">
    <oc r="L43">
      <v>2</v>
    </oc>
    <nc r="L43">
      <v>15</v>
    </nc>
  </rcc>
  <rcc rId="139266" sId="1">
    <oc r="M43" t="inlineStr">
      <is>
        <t>P10</t>
      </is>
    </oc>
    <nc r="M43" t="inlineStr">
      <is>
        <t>B30</t>
      </is>
    </nc>
  </rcc>
  <rcc rId="139267" sId="1">
    <oc r="N43">
      <v>5</v>
    </oc>
    <nc r="N43">
      <v>30</v>
    </nc>
  </rcc>
  <rcc rId="139268" sId="1">
    <oc r="O43" t="inlineStr">
      <is>
        <t>A</t>
      </is>
    </oc>
    <nc r="O43" t="inlineStr">
      <is>
        <t>B</t>
      </is>
    </nc>
  </rcc>
  <rcc rId="139269" sId="1">
    <oc r="G44" t="inlineStr">
      <is>
        <t>B39M</t>
      </is>
    </oc>
    <nc r="G44" t="inlineStr">
      <is>
        <t>B737</t>
      </is>
    </nc>
  </rcc>
  <rcc rId="139270" sId="1">
    <oc r="H44" t="inlineStr">
      <is>
        <t>UNITED</t>
      </is>
    </oc>
    <nc r="H44" t="inlineStr">
      <is>
        <t>A.A.G.</t>
      </is>
    </nc>
  </rcc>
  <rcc rId="139271" sId="1">
    <oc r="I44">
      <v>179</v>
    </oc>
    <nc r="I44">
      <v>167</v>
    </nc>
  </rcc>
  <rcc rId="139272" sId="1">
    <oc r="K44">
      <v>168</v>
    </oc>
    <nc r="K44">
      <v>155</v>
    </nc>
  </rcc>
  <rcc rId="139273" sId="1">
    <oc r="L44">
      <v>11</v>
    </oc>
    <nc r="L44">
      <v>12</v>
    </nc>
  </rcc>
  <rcc rId="139274" sId="1">
    <oc r="M44" t="inlineStr">
      <is>
        <t>B23</t>
      </is>
    </oc>
    <nc r="M44" t="inlineStr">
      <is>
        <t>B20</t>
      </is>
    </nc>
  </rcc>
  <rcc rId="139275" sId="1">
    <oc r="N44">
      <v>23</v>
    </oc>
    <nc r="N44">
      <v>20</v>
    </nc>
  </rcc>
  <rcc rId="139276" sId="1">
    <oc r="I45">
      <v>170</v>
    </oc>
    <nc r="I45">
      <v>190</v>
    </nc>
  </rcc>
  <rcc rId="139277" sId="1">
    <oc r="K45">
      <v>191</v>
    </oc>
    <nc r="K45">
      <v>183</v>
    </nc>
  </rcc>
  <rcc rId="139278" sId="1">
    <oc r="L45">
      <v>17</v>
    </oc>
    <nc r="L45">
      <v>15</v>
    </nc>
  </rcc>
  <rcc rId="139279" sId="1">
    <oc r="G46" t="inlineStr">
      <is>
        <t>B737</t>
      </is>
    </oc>
    <nc r="G46" t="inlineStr">
      <is>
        <t>B738</t>
      </is>
    </nc>
  </rcc>
  <rcc rId="139280" sId="1">
    <oc r="H46" t="inlineStr">
      <is>
        <t>A.A.G.</t>
      </is>
    </oc>
    <nc r="H46" t="inlineStr">
      <is>
        <t>ENVOY</t>
      </is>
    </nc>
  </rcc>
  <rcc rId="139281" sId="1">
    <oc r="I46">
      <v>162</v>
    </oc>
    <nc r="I46">
      <v>172</v>
    </nc>
  </rcc>
  <rcc rId="139282" sId="1">
    <oc r="K46">
      <v>163</v>
    </oc>
    <nc r="K46">
      <v>128</v>
    </nc>
  </rcc>
  <rcc rId="139283" sId="1">
    <oc r="L46">
      <v>12</v>
    </oc>
    <nc r="L46">
      <v>18</v>
    </nc>
  </rcc>
  <rcc rId="139284" sId="1">
    <oc r="M46" t="inlineStr">
      <is>
        <t>B24</t>
      </is>
    </oc>
    <nc r="M46" t="inlineStr">
      <is>
        <t>B28</t>
      </is>
    </nc>
  </rcc>
  <rcc rId="139285" sId="1">
    <oc r="N46">
      <v>24</v>
    </oc>
    <nc r="N46">
      <v>28</v>
    </nc>
  </rcc>
  <rcc rId="139286" sId="1">
    <oc r="G47" t="inlineStr">
      <is>
        <t>CRJ2</t>
      </is>
    </oc>
    <nc r="G47" t="inlineStr">
      <is>
        <t>B737</t>
      </is>
    </nc>
  </rcc>
  <rcc rId="139287" sId="1">
    <oc r="H47" t="inlineStr">
      <is>
        <t>A.A.G.</t>
      </is>
    </oc>
    <nc r="H47" t="inlineStr">
      <is>
        <t>SERVAIR</t>
      </is>
    </nc>
  </rcc>
  <rcc rId="139288" sId="1">
    <oc r="I47">
      <v>21</v>
    </oc>
    <nc r="I47">
      <v>186</v>
    </nc>
  </rcc>
  <rcc rId="139289" sId="1">
    <oc r="K47">
      <v>24</v>
    </oc>
    <nc r="K47">
      <v>186</v>
    </nc>
  </rcc>
  <rcc rId="139290" sId="1">
    <oc r="L47">
      <v>16</v>
    </oc>
    <nc r="L47">
      <v>5</v>
    </nc>
  </rcc>
  <rcc rId="139291" sId="1">
    <oc r="M47" t="inlineStr">
      <is>
        <t>B37</t>
      </is>
    </oc>
    <nc r="M47" t="inlineStr">
      <is>
        <t>P11</t>
      </is>
    </nc>
  </rcc>
  <rcc rId="139292" sId="1">
    <oc r="N47" t="inlineStr">
      <is>
        <t>26C</t>
      </is>
    </oc>
    <nc r="N47">
      <v>16</v>
    </nc>
  </rcc>
  <rcc rId="139293" sId="1">
    <oc r="O47" t="inlineStr">
      <is>
        <t>B</t>
      </is>
    </oc>
    <nc r="O47" t="inlineStr">
      <is>
        <t>A</t>
      </is>
    </nc>
  </rcc>
  <rcc rId="139294" sId="1">
    <oc r="H48" t="inlineStr">
      <is>
        <t>SERVAIR</t>
      </is>
    </oc>
    <nc r="H48" t="inlineStr">
      <is>
        <t>TRADING AVIATION</t>
      </is>
    </nc>
  </rcc>
  <rcc rId="139295" sId="1">
    <oc r="I48">
      <v>185</v>
    </oc>
    <nc r="I48">
      <v>175</v>
    </nc>
  </rcc>
  <rcc rId="139296" sId="1">
    <oc r="K48">
      <v>184</v>
    </oc>
    <nc r="K48">
      <v>153</v>
    </nc>
  </rcc>
  <rcc rId="139297" sId="1">
    <oc r="L48">
      <v>6</v>
    </oc>
    <nc r="L48">
      <v>11</v>
    </nc>
  </rcc>
  <rcc rId="139298" sId="1">
    <oc r="M48" t="inlineStr">
      <is>
        <t>P11</t>
      </is>
    </oc>
    <nc r="M48" t="inlineStr">
      <is>
        <t>B21</t>
      </is>
    </nc>
  </rcc>
  <rcc rId="139299" sId="1">
    <oc r="N48">
      <v>15</v>
    </oc>
    <nc r="N48">
      <v>21</v>
    </nc>
  </rcc>
  <rcc rId="139300" sId="1">
    <oc r="O48" t="inlineStr">
      <is>
        <t>A</t>
      </is>
    </oc>
    <nc r="O48" t="inlineStr">
      <is>
        <t>B</t>
      </is>
    </nc>
  </rcc>
  <rcc rId="139301" sId="1">
    <oc r="G49" t="inlineStr">
      <is>
        <t>A321</t>
      </is>
    </oc>
    <nc r="G49" t="inlineStr">
      <is>
        <t>A330</t>
      </is>
    </nc>
  </rcc>
  <rcc rId="139302" sId="1">
    <oc r="H49" t="inlineStr">
      <is>
        <t>ENVOY</t>
      </is>
    </oc>
    <nc r="H49" t="inlineStr">
      <is>
        <t>A.A.G.</t>
      </is>
    </nc>
  </rcc>
  <rcc rId="139303" sId="1">
    <oc r="I49">
      <v>172</v>
    </oc>
    <nc r="I49">
      <v>324</v>
    </nc>
  </rcc>
  <rcc rId="139304" sId="1">
    <oc r="K49">
      <v>184</v>
    </oc>
    <nc r="K49">
      <v>318</v>
    </nc>
  </rcc>
  <rcc rId="139305" sId="1">
    <oc r="L49">
      <v>15</v>
    </oc>
    <nc r="L49">
      <v>1</v>
    </nc>
  </rcc>
  <rcc rId="139306" sId="1">
    <oc r="M49" t="inlineStr">
      <is>
        <t>B36</t>
      </is>
    </oc>
    <nc r="M49" t="inlineStr">
      <is>
        <t>P4</t>
      </is>
    </nc>
  </rcc>
  <rcc rId="139307" sId="1">
    <oc r="N49" t="inlineStr">
      <is>
        <t>33C</t>
      </is>
    </oc>
    <nc r="N49">
      <v>6</v>
    </nc>
  </rcc>
  <rcc rId="139308" sId="1">
    <oc r="O49" t="inlineStr">
      <is>
        <t>B</t>
      </is>
    </oc>
    <nc r="O49" t="inlineStr">
      <is>
        <t>A</t>
      </is>
    </nc>
  </rcc>
  <rcc rId="139309" sId="1">
    <oc r="K50">
      <v>189</v>
    </oc>
    <nc r="K50">
      <v>173</v>
    </nc>
  </rcc>
  <rcc rId="139310" sId="1">
    <oc r="L50">
      <v>18</v>
    </oc>
    <nc r="L50">
      <v>17</v>
    </nc>
  </rcc>
  <rcc rId="139311" sId="1">
    <oc r="M50" t="inlineStr">
      <is>
        <t>B30</t>
      </is>
    </oc>
    <nc r="M50" t="inlineStr">
      <is>
        <t>B31</t>
      </is>
    </nc>
  </rcc>
  <rcc rId="139312" sId="1">
    <oc r="N50">
      <v>30</v>
    </oc>
    <nc r="N50">
      <v>31</v>
    </nc>
  </rcc>
  <rcc rId="139313" sId="1">
    <oc r="G51" t="inlineStr">
      <is>
        <t>B737</t>
      </is>
    </oc>
    <nc r="G51" t="inlineStr">
      <is>
        <t>A320</t>
      </is>
    </nc>
  </rcc>
  <rcc rId="139314" sId="1">
    <oc r="H51" t="inlineStr">
      <is>
        <t>TRADING AVIATION</t>
      </is>
    </oc>
    <nc r="H51" t="inlineStr">
      <is>
        <t>JETBLUE</t>
      </is>
    </nc>
  </rcc>
  <rcc rId="139315" sId="1">
    <oc r="I51">
      <v>156</v>
    </oc>
    <nc r="I51">
      <v>162</v>
    </nc>
  </rcc>
  <rcc rId="139316" sId="1">
    <oc r="K51">
      <v>165</v>
    </oc>
    <nc r="K51">
      <v>146</v>
    </nc>
  </rcc>
  <rcc rId="139317" sId="1">
    <oc r="L51">
      <v>13</v>
    </oc>
    <nc r="L51">
      <v>2</v>
    </nc>
  </rcc>
  <rcc rId="139318" sId="1">
    <oc r="M51" t="inlineStr">
      <is>
        <t>B22</t>
      </is>
    </oc>
    <nc r="M51" t="inlineStr">
      <is>
        <t>P9</t>
      </is>
    </nc>
  </rcc>
  <rcc rId="139319" sId="1">
    <oc r="N51">
      <v>22</v>
    </oc>
    <nc r="N51">
      <v>11</v>
    </nc>
  </rcc>
  <rcc rId="139320" sId="1">
    <oc r="O51" t="inlineStr">
      <is>
        <t>B</t>
      </is>
    </oc>
    <nc r="O51" t="inlineStr">
      <is>
        <t>A</t>
      </is>
    </nc>
  </rcc>
  <rcc rId="139321" sId="1">
    <oc r="G52" t="inlineStr">
      <is>
        <t>B39M</t>
      </is>
    </oc>
    <nc r="G52" t="inlineStr">
      <is>
        <t>A330</t>
      </is>
    </nc>
  </rcc>
  <rcc rId="139322" sId="1">
    <oc r="H52" t="inlineStr">
      <is>
        <t>UNITED</t>
      </is>
    </oc>
    <nc r="H52" t="inlineStr">
      <is>
        <t>A.A.G.</t>
      </is>
    </nc>
  </rcc>
  <rcc rId="139323" sId="1">
    <oc r="I52">
      <v>173</v>
    </oc>
    <nc r="I52">
      <v>127</v>
    </nc>
  </rcc>
  <rcc rId="139324" sId="1">
    <oc r="K52">
      <v>175</v>
    </oc>
    <nc r="K52">
      <v>331</v>
    </nc>
  </rcc>
  <rcc rId="139325" sId="1">
    <oc r="L52">
      <v>13</v>
    </oc>
    <nc r="L52">
      <v>5</v>
    </nc>
  </rcc>
  <rcc rId="139326" sId="1">
    <oc r="M52" t="inlineStr">
      <is>
        <t>B26A</t>
      </is>
    </oc>
    <nc r="M52" t="inlineStr">
      <is>
        <t>P3</t>
      </is>
    </nc>
  </rcc>
  <rcc rId="139327" sId="1">
    <oc r="N52">
      <v>26</v>
    </oc>
    <nc r="N52">
      <v>1</v>
    </nc>
  </rcc>
  <rcc rId="139328" sId="1">
    <oc r="O52" t="inlineStr">
      <is>
        <t>B</t>
      </is>
    </oc>
    <nc r="O52" t="inlineStr">
      <is>
        <t>A</t>
      </is>
    </nc>
  </rcc>
  <rcc rId="139329" sId="1">
    <oc r="G53" t="inlineStr">
      <is>
        <t>A321</t>
      </is>
    </oc>
    <nc r="G53" t="inlineStr">
      <is>
        <t>A320</t>
      </is>
    </nc>
  </rcc>
  <rcc rId="139330" sId="1">
    <oc r="H53" t="inlineStr">
      <is>
        <t>SERVAIR</t>
      </is>
    </oc>
    <nc r="H53" t="inlineStr">
      <is>
        <t>JETBLUE</t>
      </is>
    </nc>
  </rcc>
  <rcc rId="139331" sId="1">
    <oc r="I53">
      <v>182</v>
    </oc>
    <nc r="I53">
      <v>162</v>
    </nc>
  </rcc>
  <rcc rId="139332" sId="1">
    <oc r="K53">
      <v>185</v>
    </oc>
    <nc r="K53">
      <v>121</v>
    </nc>
  </rcc>
  <rcc rId="139333" sId="1">
    <oc r="L53">
      <v>16</v>
    </oc>
    <nc r="L53">
      <v>2</v>
    </nc>
  </rcc>
  <rcc rId="139334" sId="1">
    <oc r="M53" t="inlineStr">
      <is>
        <t>B32</t>
      </is>
    </oc>
    <nc r="M53" t="inlineStr">
      <is>
        <t>P10</t>
      </is>
    </nc>
  </rcc>
  <rcc rId="139335" sId="1">
    <oc r="N53">
      <v>32</v>
    </oc>
    <nc r="N53">
      <v>13</v>
    </nc>
  </rcc>
  <rcc rId="139336" sId="1">
    <oc r="O53" t="inlineStr">
      <is>
        <t>B</t>
      </is>
    </oc>
    <nc r="O53" t="inlineStr">
      <is>
        <t>A</t>
      </is>
    </nc>
  </rcc>
  <rcc rId="139337" sId="1">
    <oc r="G54" t="inlineStr">
      <is>
        <t>A330</t>
      </is>
    </oc>
    <nc r="G54" t="inlineStr">
      <is>
        <t>A321</t>
      </is>
    </nc>
  </rcc>
  <rcc rId="139338" sId="1">
    <oc r="H54" t="inlineStr">
      <is>
        <t>A.A.G.</t>
      </is>
    </oc>
    <nc r="H54" t="inlineStr">
      <is>
        <t>CARIPORTS</t>
      </is>
    </nc>
  </rcc>
  <rcc rId="139339" sId="1">
    <oc r="I54">
      <v>293</v>
    </oc>
    <nc r="I54">
      <v>182</v>
    </nc>
  </rcc>
  <rcc rId="139340" sId="1">
    <oc r="K54">
      <v>290</v>
    </oc>
    <nc r="K54">
      <v>193</v>
    </nc>
  </rcc>
  <rcc rId="139341" sId="1">
    <oc r="L54">
      <v>1</v>
    </oc>
    <nc r="L54">
      <v>3</v>
    </nc>
  </rcc>
  <rcc rId="139342" sId="1">
    <oc r="M54" t="inlineStr">
      <is>
        <t>P4</t>
      </is>
    </oc>
    <nc r="M54" t="inlineStr">
      <is>
        <t>P11</t>
      </is>
    </nc>
  </rcc>
  <rcc rId="139343" sId="1">
    <oc r="N54">
      <v>6</v>
    </oc>
    <nc r="N54">
      <v>15</v>
    </nc>
  </rcc>
  <rcc rId="139344" sId="1">
    <oc r="I55">
      <v>155</v>
    </oc>
    <nc r="I55">
      <v>162</v>
    </nc>
  </rcc>
  <rcc rId="139345" sId="1">
    <oc r="M55" t="inlineStr">
      <is>
        <t>P8A</t>
      </is>
    </oc>
    <nc r="M55" t="inlineStr">
      <is>
        <t>P6</t>
      </is>
    </nc>
  </rcc>
  <rcc rId="139346" sId="1">
    <oc r="N55">
      <v>8</v>
    </oc>
    <nc r="N55">
      <v>9</v>
    </nc>
  </rcc>
  <rcc rId="139347" sId="1">
    <oc r="G56">
      <v>220</v>
    </oc>
    <nc r="G56" t="inlineStr">
      <is>
        <t>B737</t>
      </is>
    </nc>
  </rcc>
  <rcc rId="139348" sId="1">
    <oc r="H56" t="inlineStr">
      <is>
        <t>JETBLUE</t>
      </is>
    </oc>
    <nc r="H56" t="inlineStr">
      <is>
        <t>A.A.G.</t>
      </is>
    </nc>
  </rcc>
  <rcc rId="139349" sId="1">
    <oc r="I56">
      <v>139</v>
    </oc>
    <nc r="I56">
      <v>172</v>
    </nc>
  </rcc>
  <rcc rId="139350" sId="1">
    <oc r="K56">
      <v>137</v>
    </oc>
    <nc r="K56">
      <v>158</v>
    </nc>
  </rcc>
  <rcc rId="139351" sId="1">
    <oc r="L56">
      <v>3</v>
    </oc>
    <nc r="L56">
      <v>12</v>
    </nc>
  </rcc>
  <rcc rId="139352" sId="1">
    <oc r="M56" t="inlineStr">
      <is>
        <t>P9</t>
      </is>
    </oc>
    <nc r="M56" t="inlineStr">
      <is>
        <t>B26A</t>
      </is>
    </nc>
  </rcc>
  <rcc rId="139353" sId="1">
    <oc r="N56">
      <v>11</v>
    </oc>
    <nc r="N56">
      <v>26</v>
    </nc>
  </rcc>
  <rcc rId="139354" sId="1">
    <oc r="O56" t="inlineStr">
      <is>
        <t>A</t>
      </is>
    </oc>
    <nc r="O56" t="inlineStr">
      <is>
        <t>B</t>
      </is>
    </nc>
  </rcc>
  <rcc rId="139355" sId="1">
    <oc r="G57" t="inlineStr">
      <is>
        <t>A330</t>
      </is>
    </oc>
    <nc r="G57" t="inlineStr">
      <is>
        <t>A321</t>
      </is>
    </nc>
  </rcc>
  <rcc rId="139356" sId="1">
    <oc r="H57" t="inlineStr">
      <is>
        <t>A.A.G.</t>
      </is>
    </oc>
    <nc r="H57" t="inlineStr">
      <is>
        <t>ENVOY</t>
      </is>
    </nc>
  </rcc>
  <rcc rId="139357" sId="1">
    <oc r="I57">
      <v>315</v>
    </oc>
    <nc r="I57">
      <v>180</v>
    </nc>
  </rcc>
  <rcc rId="139358" sId="1">
    <oc r="K57">
      <v>307</v>
    </oc>
    <nc r="K57">
      <v>165</v>
    </nc>
  </rcc>
  <rcc rId="139359" sId="1">
    <oc r="L57">
      <v>6</v>
    </oc>
    <nc r="L57">
      <v>15</v>
    </nc>
  </rcc>
  <rcc rId="139360" sId="1">
    <oc r="M57" t="inlineStr">
      <is>
        <t>P3</t>
      </is>
    </oc>
    <nc r="M57" t="inlineStr">
      <is>
        <t>B28</t>
      </is>
    </nc>
  </rcc>
  <rcc rId="139361" sId="1">
    <oc r="N57">
      <v>1</v>
    </oc>
    <nc r="N57">
      <v>28</v>
    </nc>
  </rcc>
  <rcc rId="139362" sId="1">
    <oc r="O57" t="inlineStr">
      <is>
        <t>A</t>
      </is>
    </oc>
    <nc r="O57" t="inlineStr">
      <is>
        <t>B</t>
      </is>
    </nc>
  </rcc>
  <rcc rId="139363" sId="1">
    <oc r="G58" t="inlineStr">
      <is>
        <t>B738</t>
      </is>
    </oc>
    <nc r="G58" t="inlineStr">
      <is>
        <t>A20N</t>
      </is>
    </nc>
  </rcc>
  <rcc rId="139364" sId="1">
    <oc r="H58" t="inlineStr">
      <is>
        <t>ENVOY</t>
      </is>
    </oc>
    <nc r="H58" t="inlineStr">
      <is>
        <t>CARIPORTS</t>
      </is>
    </nc>
  </rcc>
  <rcc rId="139365" sId="1">
    <oc r="I58">
      <v>160</v>
    </oc>
    <nc r="I58">
      <v>234</v>
    </nc>
  </rcc>
  <rcc rId="139366" sId="1">
    <oc r="K58">
      <v>161</v>
    </oc>
    <nc r="K58">
      <v>38</v>
    </nc>
  </rcc>
  <rcc rId="139367" sId="1">
    <oc r="L58">
      <v>17</v>
    </oc>
    <nc r="L58">
      <v>6</v>
    </nc>
  </rcc>
  <rcc rId="139368" sId="1">
    <oc r="M58" t="inlineStr">
      <is>
        <t>B28</t>
      </is>
    </oc>
    <nc r="M58" t="inlineStr">
      <is>
        <t>P5</t>
      </is>
    </nc>
  </rcc>
  <rcc rId="139369" sId="1">
    <oc r="N58">
      <v>28</v>
    </oc>
    <nc r="N58">
      <v>4</v>
    </nc>
  </rcc>
  <rcc rId="139370" sId="1">
    <oc r="O58" t="inlineStr">
      <is>
        <t>B</t>
      </is>
    </oc>
    <nc r="O58" t="inlineStr">
      <is>
        <t>A</t>
      </is>
    </nc>
  </rcc>
  <rcc rId="139371" sId="1">
    <oc r="G59" t="inlineStr">
      <is>
        <t>A321</t>
      </is>
    </oc>
    <nc r="G59" t="inlineStr">
      <is>
        <t>B39M</t>
      </is>
    </nc>
  </rcc>
  <rcc rId="139372" sId="1">
    <oc r="H59" t="inlineStr">
      <is>
        <t>CARIPORTS</t>
      </is>
    </oc>
    <nc r="H59" t="inlineStr">
      <is>
        <t>UNITED</t>
      </is>
    </nc>
  </rcc>
  <rcc rId="139373" sId="1">
    <oc r="I59">
      <v>183</v>
    </oc>
    <nc r="I59">
      <v>179</v>
    </nc>
  </rcc>
  <rcc rId="139374" sId="1">
    <oc r="K59">
      <v>191</v>
    </oc>
    <nc r="K59">
      <v>168</v>
    </nc>
  </rcc>
  <rcc rId="139375" sId="1">
    <oc r="L59">
      <v>1</v>
    </oc>
    <nc r="L59">
      <v>11</v>
    </nc>
  </rcc>
  <rcc rId="139376" sId="1">
    <oc r="M59" t="inlineStr">
      <is>
        <t>P10</t>
      </is>
    </oc>
    <nc r="M59" t="inlineStr">
      <is>
        <t>B20</t>
      </is>
    </nc>
  </rcc>
  <rcc rId="139377" sId="1">
    <oc r="N59">
      <v>13</v>
    </oc>
    <nc r="N59">
      <v>20</v>
    </nc>
  </rcc>
  <rcc rId="139378" sId="1">
    <oc r="O59" t="inlineStr">
      <is>
        <t>A</t>
      </is>
    </oc>
    <nc r="O59" t="inlineStr">
      <is>
        <t>B</t>
      </is>
    </nc>
  </rcc>
  <rcc rId="139379" sId="1">
    <oc r="G60" t="inlineStr">
      <is>
        <t>B737</t>
      </is>
    </oc>
    <nc r="G60" t="inlineStr">
      <is>
        <t>B787</t>
      </is>
    </nc>
  </rcc>
  <rcc rId="139380" sId="1">
    <oc r="I60">
      <v>167</v>
    </oc>
    <nc r="I60">
      <v>339</v>
    </nc>
  </rcc>
  <rcc rId="139381" sId="1">
    <oc r="K60">
      <v>157</v>
    </oc>
    <nc r="K60">
      <v>331</v>
    </nc>
  </rcc>
  <rcc rId="139382" sId="1">
    <oc r="L60">
      <v>11</v>
    </oc>
    <nc r="L60">
      <v>5</v>
    </nc>
  </rcc>
  <rcc rId="139383" sId="1">
    <oc r="M60" t="inlineStr">
      <is>
        <t>B20</t>
      </is>
    </oc>
    <nc r="M60" t="inlineStr">
      <is>
        <t>P7</t>
      </is>
    </nc>
  </rcc>
  <rcc rId="139384" sId="1">
    <oc r="N60">
      <v>20</v>
    </oc>
    <nc r="N60">
      <v>6</v>
    </nc>
  </rcc>
  <rcc rId="139385" sId="1">
    <oc r="O60" t="inlineStr">
      <is>
        <t>B</t>
      </is>
    </oc>
    <nc r="O60" t="inlineStr">
      <is>
        <t>A</t>
      </is>
    </nc>
  </rcc>
  <rcc rId="139386" sId="1">
    <oc r="G61" t="inlineStr">
      <is>
        <t>B38M</t>
      </is>
    </oc>
    <nc r="G61" t="inlineStr">
      <is>
        <t>B789</t>
      </is>
    </nc>
  </rcc>
  <rcc rId="139387" sId="1">
    <oc r="H61" t="inlineStr">
      <is>
        <t>SERVAIR</t>
      </is>
    </oc>
    <nc r="H61" t="inlineStr">
      <is>
        <t>A.A.G.</t>
      </is>
    </nc>
  </rcc>
  <rcc rId="139388" sId="1">
    <oc r="I61">
      <v>108</v>
    </oc>
    <nc r="I61">
      <v>339</v>
    </nc>
  </rcc>
  <rcc rId="139389" sId="1">
    <oc r="K61">
      <v>174</v>
    </oc>
    <nc r="K61">
      <v>328</v>
    </nc>
  </rcc>
  <rcc rId="139390" sId="1">
    <oc r="L61">
      <v>6</v>
    </oc>
    <nc r="L61">
      <v>1</v>
    </nc>
  </rcc>
  <rcc rId="139391" sId="1">
    <oc r="M61" t="inlineStr">
      <is>
        <t>P6</t>
      </is>
    </oc>
    <nc r="M61" t="inlineStr">
      <is>
        <t>P2</t>
      </is>
    </nc>
  </rcc>
  <rcc rId="139392" sId="1">
    <oc r="N61">
      <v>3</v>
    </oc>
    <nc r="N61">
      <v>1</v>
    </nc>
  </rcc>
  <rcc rId="139393" sId="1">
    <oc r="I62">
      <v>87</v>
    </oc>
    <nc r="I62">
      <v>104</v>
    </nc>
  </rcc>
  <rcc rId="139394" sId="1">
    <oc r="K62">
      <v>174</v>
    </oc>
    <nc r="K62">
      <v>168</v>
    </nc>
  </rcc>
  <rcc rId="139395" sId="1">
    <oc r="L62">
      <v>5</v>
    </oc>
    <nc r="L62">
      <v>6</v>
    </nc>
  </rcc>
  <rcc rId="139396" sId="1">
    <oc r="M62" t="inlineStr">
      <is>
        <t>P7</t>
      </is>
    </oc>
    <nc r="M62" t="inlineStr">
      <is>
        <t>P8A</t>
      </is>
    </nc>
  </rcc>
  <rcc rId="139397" sId="1">
    <oc r="N62">
      <v>5</v>
    </oc>
    <nc r="N62">
      <v>8</v>
    </nc>
  </rcc>
  <rcc rId="139398" sId="1">
    <oc r="G63" t="inlineStr">
      <is>
        <t>A320</t>
      </is>
    </oc>
    <nc r="G63" t="inlineStr">
      <is>
        <t>A321</t>
      </is>
    </nc>
  </rcc>
  <rcc rId="139399" sId="1">
    <oc r="H63" t="inlineStr">
      <is>
        <t>E.T HEINSEN</t>
      </is>
    </oc>
    <nc r="H63" t="inlineStr">
      <is>
        <t>SERVAIR</t>
      </is>
    </nc>
  </rcc>
  <rcc rId="139400" sId="1">
    <oc r="I63">
      <v>171</v>
    </oc>
    <nc r="I63">
      <v>189</v>
    </nc>
  </rcc>
  <rcc rId="139401" sId="1">
    <oc r="K63">
      <v>156</v>
    </oc>
    <nc r="K63">
      <v>173</v>
    </nc>
  </rcc>
  <rcc rId="139402" sId="1">
    <oc r="L63">
      <v>2</v>
    </oc>
    <nc r="L63">
      <v>18</v>
    </nc>
  </rcc>
  <rcc rId="139403" sId="1">
    <oc r="M63" t="inlineStr">
      <is>
        <t>P11</t>
      </is>
    </oc>
    <nc r="M63" t="inlineStr">
      <is>
        <t>B32</t>
      </is>
    </nc>
  </rcc>
  <rcc rId="139404" sId="1">
    <oc r="N63">
      <v>16</v>
    </oc>
    <nc r="N63">
      <v>32</v>
    </nc>
  </rcc>
  <rcc rId="139405" sId="1">
    <oc r="O63" t="inlineStr">
      <is>
        <t>A</t>
      </is>
    </oc>
    <nc r="O63" t="inlineStr">
      <is>
        <t>B</t>
      </is>
    </nc>
  </rcc>
  <rcc rId="139406" sId="1">
    <oc r="G64" t="inlineStr">
      <is>
        <t>B737</t>
      </is>
    </oc>
    <nc r="G64" t="inlineStr">
      <is>
        <t>B39M</t>
      </is>
    </nc>
  </rcc>
  <rcc rId="139407" sId="1">
    <oc r="H64" t="inlineStr">
      <is>
        <t>TRADING AVIATION</t>
      </is>
    </oc>
    <nc r="H64" t="inlineStr">
      <is>
        <t>UNITED</t>
      </is>
    </nc>
  </rcc>
  <rcc rId="139408" sId="1">
    <oc r="I64">
      <v>115</v>
    </oc>
    <nc r="I64">
      <v>156</v>
    </nc>
  </rcc>
  <rcc rId="139409" sId="1">
    <oc r="K64">
      <v>133</v>
    </oc>
    <nc r="K64">
      <v>169</v>
    </nc>
  </rcc>
  <rcc rId="139410" sId="1">
    <oc r="L64">
      <v>11</v>
    </oc>
    <nc r="L64">
      <v>13</v>
    </nc>
  </rcc>
  <rcc rId="139411" sId="1">
    <oc r="M64" t="inlineStr">
      <is>
        <t>B23</t>
      </is>
    </oc>
    <nc r="M64" t="inlineStr">
      <is>
        <t>B22</t>
      </is>
    </nc>
  </rcc>
  <rcc rId="139412" sId="1">
    <oc r="N64">
      <v>23</v>
    </oc>
    <nc r="N64">
      <v>22</v>
    </nc>
  </rcc>
  <rcc rId="139413" sId="1">
    <oc r="G65" t="inlineStr">
      <is>
        <t>A20N</t>
      </is>
    </oc>
    <nc r="G65" t="inlineStr">
      <is>
        <t>B38M</t>
      </is>
    </nc>
  </rcc>
  <rcc rId="139414" sId="1">
    <oc r="H65" t="inlineStr">
      <is>
        <t>CARIPORTS</t>
      </is>
    </oc>
    <nc r="H65" t="inlineStr">
      <is>
        <t>TRADING AVIATION</t>
      </is>
    </nc>
  </rcc>
  <rcc rId="139415" sId="1">
    <oc r="I65">
      <v>187</v>
    </oc>
    <nc r="I65">
      <v>175</v>
    </nc>
  </rcc>
  <rcc rId="139416" sId="1">
    <oc r="K65">
      <v>75</v>
    </oc>
    <nc r="K65">
      <v>162</v>
    </nc>
  </rcc>
  <rcc rId="139417" sId="1">
    <oc r="L65">
      <v>3</v>
    </oc>
    <nc r="L65">
      <v>12</v>
    </nc>
  </rcc>
  <rcc rId="139418" sId="1">
    <oc r="M65" t="inlineStr">
      <is>
        <t>N5</t>
      </is>
    </oc>
    <nc r="M65" t="inlineStr">
      <is>
        <t>B21</t>
      </is>
    </nc>
  </rcc>
  <rcc rId="139419" sId="1">
    <oc r="N65">
      <v>4</v>
    </oc>
    <nc r="N65">
      <v>21</v>
    </nc>
  </rcc>
  <rcc rId="139420" sId="1">
    <oc r="O65" t="inlineStr">
      <is>
        <t>A</t>
      </is>
    </oc>
    <nc r="O65" t="inlineStr">
      <is>
        <t>B</t>
      </is>
    </nc>
  </rcc>
  <rcc rId="139421" sId="1">
    <oc r="G66" t="inlineStr">
      <is>
        <t>B38M</t>
      </is>
    </oc>
    <nc r="G66" t="inlineStr">
      <is>
        <t>MD82</t>
      </is>
    </nc>
  </rcc>
  <rcc rId="139422" sId="1">
    <oc r="M66" t="inlineStr">
      <is>
        <t>P5</t>
      </is>
    </oc>
    <nc r="M66" t="inlineStr">
      <is>
        <t>N5</t>
      </is>
    </nc>
  </rcc>
  <rcc rId="139423" sId="1">
    <oc r="I67">
      <v>144</v>
    </oc>
    <nc r="I67">
      <v>172</v>
    </nc>
  </rcc>
  <rcc rId="139424" sId="1">
    <oc r="K67">
      <v>167</v>
    </oc>
    <nc r="K67">
      <v>139</v>
    </nc>
  </rcc>
  <rcc rId="139425" sId="1">
    <oc r="L67">
      <v>14</v>
    </oc>
    <nc r="L67">
      <v>15</v>
    </nc>
  </rcc>
  <rcc rId="139426" sId="1">
    <oc r="H68" t="inlineStr">
      <is>
        <t>SERVAIR</t>
      </is>
    </oc>
    <nc r="H68" t="inlineStr">
      <is>
        <t>ENVOY</t>
      </is>
    </nc>
  </rcc>
  <rcc rId="139427" sId="1">
    <oc r="I68">
      <v>190</v>
    </oc>
    <nc r="I68">
      <v>189</v>
    </nc>
  </rcc>
  <rcc rId="139428" sId="1">
    <oc r="K68">
      <v>186</v>
    </oc>
    <nc r="K68">
      <v>175</v>
    </nc>
  </rcc>
  <rcc rId="139429" sId="1">
    <oc r="L68">
      <v>16</v>
    </oc>
    <nc r="L68">
      <v>17</v>
    </nc>
  </rcc>
  <rcc rId="139430" sId="1">
    <oc r="M68" t="inlineStr">
      <is>
        <t>B31</t>
      </is>
    </oc>
    <nc r="M68" t="inlineStr">
      <is>
        <t>B30</t>
      </is>
    </nc>
  </rcc>
  <rcc rId="139431" sId="1">
    <oc r="N68">
      <v>31</v>
    </oc>
    <nc r="N68">
      <v>30</v>
    </nc>
  </rcc>
  <rcc rId="139432" sId="1">
    <oc r="I69">
      <v>158</v>
    </oc>
    <nc r="I69">
      <v>141</v>
    </nc>
  </rcc>
  <rcc rId="139433" sId="1">
    <oc r="K69">
      <v>179</v>
    </oc>
    <nc r="K69">
      <v>77</v>
    </nc>
  </rcc>
  <rcc rId="139434" sId="1">
    <oc r="L69">
      <v>3</v>
    </oc>
    <nc r="L69">
      <v>2</v>
    </nc>
  </rcc>
  <rcc rId="139435" sId="1">
    <oc r="M69" t="inlineStr">
      <is>
        <t>P8A</t>
      </is>
    </oc>
    <nc r="M69" t="inlineStr">
      <is>
        <t>P9</t>
      </is>
    </nc>
  </rcc>
  <rcc rId="139436" sId="1">
    <oc r="N69">
      <v>7</v>
    </oc>
    <nc r="N69">
      <v>12</v>
    </nc>
  </rcc>
  <rcc rId="139437" sId="1">
    <oc r="G70" t="inlineStr">
      <is>
        <t>B738</t>
      </is>
    </oc>
    <nc r="G70" t="inlineStr">
      <is>
        <t>A321</t>
      </is>
    </nc>
  </rcc>
  <rcc rId="139438" sId="1">
    <oc r="I70">
      <v>133</v>
    </oc>
    <nc r="I70">
      <v>195</v>
    </nc>
  </rcc>
  <rcc rId="139439" sId="1">
    <oc r="K70">
      <v>137</v>
    </oc>
    <nc r="K70">
      <v>178</v>
    </nc>
  </rcc>
  <rcc rId="139440" sId="1">
    <oc r="L70">
      <v>14</v>
    </oc>
    <nc r="L70">
      <v>16</v>
    </nc>
  </rcc>
  <rcc rId="139441" sId="1">
    <oc r="M70" t="inlineStr">
      <is>
        <t>B30</t>
      </is>
    </oc>
    <nc r="M70" t="inlineStr">
      <is>
        <t>B31</t>
      </is>
    </nc>
  </rcc>
  <rcc rId="139442" sId="1">
    <oc r="N70">
      <v>30</v>
    </oc>
    <nc r="N70">
      <v>31</v>
    </nc>
  </rcc>
  <rcc rId="139443" sId="1">
    <oc r="G71" t="inlineStr">
      <is>
        <t>B789</t>
      </is>
    </oc>
    <nc r="G71" t="inlineStr">
      <is>
        <t>A320</t>
      </is>
    </nc>
  </rcc>
  <rcc rId="139444" sId="1">
    <oc r="H71" t="inlineStr">
      <is>
        <t>A.A.G.</t>
      </is>
    </oc>
    <nc r="H71" t="inlineStr">
      <is>
        <t>E.T HEINSEN</t>
      </is>
    </nc>
  </rcc>
  <rcc rId="139445" sId="1">
    <oc r="I71">
      <v>339</v>
    </oc>
    <nc r="I71">
      <v>171</v>
    </nc>
  </rcc>
  <rcc rId="139446" sId="1">
    <oc r="K71">
      <v>337</v>
    </oc>
    <nc r="K71">
      <v>156</v>
    </nc>
  </rcc>
  <rcc rId="139447" sId="1">
    <oc r="M71" t="inlineStr">
      <is>
        <t>P2</t>
      </is>
    </oc>
    <nc r="M71" t="inlineStr">
      <is>
        <t>P3</t>
      </is>
    </nc>
  </rcc>
  <rcc rId="139448" sId="1">
    <oc r="N71">
      <v>6</v>
    </oc>
    <nc r="N71">
      <v>10</v>
    </nc>
  </rcc>
  <rcc rId="139449" sId="1">
    <oc r="G72" t="inlineStr">
      <is>
        <t>B737</t>
      </is>
    </oc>
    <nc r="G72" t="inlineStr">
      <is>
        <t>A320</t>
      </is>
    </nc>
  </rcc>
  <rcc rId="139450" sId="1">
    <oc r="H72" t="inlineStr">
      <is>
        <t>TRADING AVIATION</t>
      </is>
    </oc>
    <nc r="H72" t="inlineStr">
      <is>
        <t>CARIPORTS</t>
      </is>
    </nc>
  </rcc>
  <rcc rId="139451" sId="1">
    <oc r="I72">
      <v>112</v>
    </oc>
    <nc r="I72">
      <v>189</v>
    </nc>
  </rcc>
  <rcc rId="139452" sId="1">
    <oc r="K72">
      <v>132</v>
    </oc>
    <nc r="K72">
      <v>188</v>
    </nc>
  </rcc>
  <rcc rId="139453" sId="1">
    <oc r="L72">
      <v>12</v>
    </oc>
    <nc r="L72">
      <v>3</v>
    </nc>
  </rcc>
  <rcc rId="139454" sId="1">
    <oc r="M72" t="inlineStr">
      <is>
        <t>B26A</t>
      </is>
    </oc>
    <nc r="M72" t="inlineStr">
      <is>
        <t>P6</t>
      </is>
    </nc>
  </rcc>
  <rcc rId="139455" sId="1">
    <oc r="N72">
      <v>26</v>
    </oc>
    <nc r="N72">
      <v>9</v>
    </nc>
  </rcc>
  <rcc rId="139456" sId="1">
    <oc r="O72" t="inlineStr">
      <is>
        <t>B</t>
      </is>
    </oc>
    <nc r="O72" t="inlineStr">
      <is>
        <t>A</t>
      </is>
    </nc>
  </rcc>
  <rcc rId="139457" sId="1">
    <oc r="G73" t="inlineStr">
      <is>
        <t>B738</t>
      </is>
    </oc>
    <nc r="G73" t="inlineStr">
      <is>
        <t>A359</t>
      </is>
    </nc>
  </rcc>
  <rcc rId="139458" sId="1">
    <oc r="H73" t="inlineStr">
      <is>
        <t>ENVOY</t>
      </is>
    </oc>
    <nc r="H73" t="inlineStr">
      <is>
        <t>G.A.S</t>
      </is>
    </nc>
  </rcc>
  <rcc rId="139459" sId="1">
    <oc r="I73">
      <v>152</v>
    </oc>
    <nc r="I73">
      <v>300</v>
    </nc>
  </rcc>
  <rcc rId="139460" sId="1">
    <oc r="K73">
      <v>166</v>
    </oc>
    <nc r="K73">
      <v>300</v>
    </nc>
  </rcc>
  <rcc rId="139461" sId="1">
    <oc r="L73">
      <v>15</v>
    </oc>
    <nc r="L73">
      <v>6</v>
    </nc>
  </rcc>
  <rcc rId="139462" sId="1">
    <oc r="M73" t="inlineStr">
      <is>
        <t>B37</t>
      </is>
    </oc>
    <nc r="M73" t="inlineStr">
      <is>
        <t>P4</t>
      </is>
    </nc>
  </rcc>
  <rcc rId="139463" sId="1">
    <oc r="N73" t="inlineStr">
      <is>
        <t>33D</t>
      </is>
    </oc>
    <nc r="N73">
      <v>14</v>
    </nc>
  </rcc>
  <rcc rId="139464" sId="1">
    <oc r="O73" t="inlineStr">
      <is>
        <t>B</t>
      </is>
    </oc>
    <nc r="O73" t="inlineStr">
      <is>
        <t>A</t>
      </is>
    </nc>
  </rcc>
  <rcc rId="139465" sId="1">
    <oc r="G74" t="inlineStr">
      <is>
        <t>A320</t>
      </is>
    </oc>
    <nc r="G74" t="inlineStr">
      <is>
        <t>A321</t>
      </is>
    </nc>
  </rcc>
  <rcc rId="139466" sId="1">
    <oc r="H74" t="inlineStr">
      <is>
        <t>JETBLUE</t>
      </is>
    </oc>
    <nc r="H74" t="inlineStr">
      <is>
        <t>CARIPORTS</t>
      </is>
    </nc>
  </rcc>
  <rcc rId="139467" sId="1">
    <oc r="I74">
      <v>150</v>
    </oc>
    <nc r="I74">
      <v>232</v>
    </nc>
  </rcc>
  <rcc rId="139468" sId="1">
    <oc r="K74">
      <v>153</v>
    </oc>
    <nc r="K74">
      <v>126</v>
    </nc>
  </rcc>
  <rcc rId="139469" sId="1">
    <oc r="L74">
      <v>3</v>
    </oc>
    <nc r="L74">
      <v>6</v>
    </nc>
  </rcc>
  <rcc rId="139470" sId="1">
    <oc r="M74" t="inlineStr">
      <is>
        <t>P9</t>
      </is>
    </oc>
    <nc r="M74" t="inlineStr">
      <is>
        <t>P1A</t>
      </is>
    </nc>
  </rcc>
  <rcc rId="139471" sId="1">
    <oc r="N74">
      <v>10</v>
    </oc>
    <nc r="N74">
      <v>3</v>
    </nc>
  </rcc>
  <rcc rId="139472" sId="1">
    <oc r="G75" t="inlineStr">
      <is>
        <t>B38M</t>
      </is>
    </oc>
    <nc r="G75" t="inlineStr">
      <is>
        <t>B39M</t>
      </is>
    </nc>
  </rcc>
  <rcc rId="139473" sId="1">
    <oc r="H75" t="inlineStr">
      <is>
        <t>A.A.G.</t>
      </is>
    </oc>
    <nc r="H75" t="inlineStr">
      <is>
        <t>UNITED</t>
      </is>
    </nc>
  </rcc>
  <rcc rId="139474" sId="1">
    <oc r="I75">
      <v>137</v>
    </oc>
    <nc r="I75">
      <v>176</v>
    </nc>
  </rcc>
  <rcc rId="139475" sId="1">
    <oc r="K75">
      <v>117</v>
    </oc>
    <nc r="K75">
      <v>149</v>
    </nc>
  </rcc>
  <rcc rId="139476" sId="1">
    <oc r="L75">
      <v>12</v>
    </oc>
    <nc r="L75">
      <v>11</v>
    </nc>
  </rcc>
  <rcc rId="139477" sId="1">
    <oc r="H76" t="inlineStr">
      <is>
        <t>TRADING AVIATION</t>
      </is>
    </oc>
    <nc r="H76" t="inlineStr">
      <is>
        <t>SERVAIR</t>
      </is>
    </nc>
  </rcc>
  <rcc rId="139478" sId="1">
    <oc r="I76">
      <v>157</v>
    </oc>
    <nc r="I76">
      <v>166</v>
    </nc>
  </rcc>
  <rcc rId="139479" sId="1">
    <oc r="L76">
      <v>13</v>
    </oc>
    <nc r="L76">
      <v>5</v>
    </nc>
  </rcc>
  <rcc rId="139480" sId="1">
    <oc r="M76" t="inlineStr">
      <is>
        <t>B22</t>
      </is>
    </oc>
    <nc r="M76" t="inlineStr">
      <is>
        <t>P11</t>
      </is>
    </nc>
  </rcc>
  <rcc rId="139481" sId="1">
    <oc r="N76">
      <v>22</v>
    </oc>
    <nc r="N76">
      <v>15</v>
    </nc>
  </rcc>
  <rcc rId="139482" sId="1">
    <oc r="O76" t="inlineStr">
      <is>
        <t>B</t>
      </is>
    </oc>
    <nc r="O76" t="inlineStr">
      <is>
        <t>A</t>
      </is>
    </nc>
  </rcc>
  <rcc rId="139483" sId="1">
    <oc r="G77" t="inlineStr">
      <is>
        <t>B787</t>
      </is>
    </oc>
    <nc r="G77" t="inlineStr">
      <is>
        <t>A321</t>
      </is>
    </nc>
  </rcc>
  <rcc rId="139484" sId="1">
    <oc r="H77" t="inlineStr">
      <is>
        <t>A.A.G.</t>
      </is>
    </oc>
    <nc r="H77" t="inlineStr">
      <is>
        <t>ENVOY</t>
      </is>
    </nc>
  </rcc>
  <rcc rId="139485" sId="1">
    <oc r="I77">
      <v>339</v>
    </oc>
    <nc r="I77">
      <v>190</v>
    </nc>
  </rcc>
  <rcc rId="139486" sId="1">
    <oc r="K77">
      <v>335</v>
    </oc>
    <nc r="K77">
      <v>160</v>
    </nc>
  </rcc>
  <rcc rId="139487" sId="1">
    <oc r="L77">
      <v>5</v>
    </oc>
    <nc r="L77">
      <v>17</v>
    </nc>
  </rcc>
  <rcc rId="139488" sId="1">
    <oc r="M77" t="inlineStr">
      <is>
        <t>P1</t>
      </is>
    </oc>
    <nc r="M77" t="inlineStr">
      <is>
        <t>B28</t>
      </is>
    </nc>
  </rcc>
  <rcc rId="139489" sId="1">
    <oc r="N77">
      <v>1</v>
    </oc>
    <nc r="N77">
      <v>28</v>
    </nc>
  </rcc>
  <rcc rId="139490" sId="1">
    <oc r="O77" t="inlineStr">
      <is>
        <t>A</t>
      </is>
    </oc>
    <nc r="O77" t="inlineStr">
      <is>
        <t>B</t>
      </is>
    </nc>
  </rcc>
  <rcc rId="139491" sId="1">
    <oc r="G78" t="inlineStr">
      <is>
        <t>B777</t>
      </is>
    </oc>
    <nc r="G78" t="inlineStr">
      <is>
        <t>A320</t>
      </is>
    </nc>
  </rcc>
  <rcc rId="139492" sId="1">
    <oc r="H78" t="inlineStr">
      <is>
        <t>CARIPORTS</t>
      </is>
    </oc>
    <nc r="H78" t="inlineStr">
      <is>
        <t>JETBLUE</t>
      </is>
    </nc>
  </rcc>
  <rcc rId="139493" sId="1">
    <oc r="I78">
      <v>281</v>
    </oc>
    <nc r="I78">
      <v>152</v>
    </nc>
  </rcc>
  <rcc rId="139494" sId="1">
    <oc r="K78">
      <v>329</v>
    </oc>
    <nc r="K78">
      <v>77</v>
    </nc>
  </rcc>
  <rcc rId="139495" sId="1">
    <oc r="L78">
      <v>13</v>
    </oc>
    <nc r="L78">
      <v>3</v>
    </nc>
  </rcc>
  <rcc rId="139496" sId="1">
    <oc r="M78" t="inlineStr">
      <is>
        <t>B25</t>
      </is>
    </oc>
    <nc r="M78" t="inlineStr">
      <is>
        <t>P5</t>
      </is>
    </nc>
  </rcc>
  <rcc rId="139497" sId="1">
    <oc r="N78">
      <v>25</v>
    </oc>
    <nc r="N78">
      <v>5</v>
    </nc>
  </rcc>
  <rcc rId="139498" sId="1">
    <oc r="O78" t="inlineStr">
      <is>
        <t>B</t>
      </is>
    </oc>
    <nc r="O78" t="inlineStr">
      <is>
        <t>A</t>
      </is>
    </nc>
  </rcc>
  <rcc rId="139499" sId="1">
    <oc r="G79" t="inlineStr">
      <is>
        <t>B39M</t>
      </is>
    </oc>
    <nc r="G79" t="inlineStr">
      <is>
        <t>B737</t>
      </is>
    </nc>
  </rcc>
  <rcc rId="139500" sId="1">
    <oc r="H79" t="inlineStr">
      <is>
        <t>UNITED</t>
      </is>
    </oc>
    <nc r="H79" t="inlineStr">
      <is>
        <t>A.A.G.</t>
      </is>
    </nc>
  </rcc>
  <rcc rId="139501" sId="1">
    <oc r="I79">
      <v>174</v>
    </oc>
    <nc r="I79">
      <v>166</v>
    </nc>
  </rcc>
  <rcc rId="139502" sId="1">
    <oc r="K79">
      <v>166</v>
    </oc>
    <nc r="K79">
      <v>159</v>
    </nc>
  </rcc>
  <rcc rId="139503" sId="1">
    <oc r="L79">
      <v>11</v>
    </oc>
    <nc r="L79">
      <v>12</v>
    </nc>
  </rcc>
  <rcc rId="139504" sId="1">
    <oc r="M79" t="inlineStr">
      <is>
        <t>B20</t>
      </is>
    </oc>
    <nc r="M79" t="inlineStr">
      <is>
        <t>B26A</t>
      </is>
    </nc>
  </rcc>
  <rcc rId="139505" sId="1">
    <oc r="N79">
      <v>20</v>
    </oc>
    <nc r="N79">
      <v>26</v>
    </nc>
  </rcc>
  <rcc rId="139506" sId="1">
    <oc r="G80" t="inlineStr">
      <is>
        <t>A320</t>
      </is>
    </oc>
    <nc r="G80" t="inlineStr">
      <is>
        <t>A321</t>
      </is>
    </nc>
  </rcc>
  <rcc rId="139507" sId="1">
    <oc r="H80" t="inlineStr">
      <is>
        <t>CARIPORTS</t>
      </is>
    </oc>
    <nc r="H80" t="inlineStr">
      <is>
        <t>ENVOY</t>
      </is>
    </nc>
  </rcc>
  <rcc rId="139508" sId="1">
    <oc r="I80">
      <v>192</v>
    </oc>
    <nc r="I80">
      <v>190</v>
    </nc>
  </rcc>
  <rcc rId="139509" sId="1">
    <oc r="K80">
      <v>197</v>
    </oc>
    <nc r="K80">
      <v>182</v>
    </nc>
  </rcc>
  <rcc rId="139510" sId="1">
    <oc r="L80">
      <v>1</v>
    </oc>
    <nc r="L80">
      <v>15</v>
    </nc>
  </rcc>
  <rcc rId="139511" sId="1">
    <oc r="M80" t="inlineStr">
      <is>
        <t>P10</t>
      </is>
    </oc>
    <nc r="M80" t="inlineStr">
      <is>
        <t>B32</t>
      </is>
    </nc>
  </rcc>
  <rcc rId="139512" sId="1">
    <oc r="N80">
      <v>13</v>
    </oc>
    <nc r="N80">
      <v>32</v>
    </nc>
  </rcc>
  <rcc rId="139513" sId="1">
    <oc r="O80" t="inlineStr">
      <is>
        <t>A</t>
      </is>
    </oc>
    <nc r="O80" t="inlineStr">
      <is>
        <t>B</t>
      </is>
    </nc>
  </rcc>
  <rcc rId="139514" sId="1">
    <oc r="G81" t="inlineStr">
      <is>
        <t>A320</t>
      </is>
    </oc>
    <nc r="G81" t="inlineStr">
      <is>
        <t>B787</t>
      </is>
    </nc>
  </rcc>
  <rcc rId="139515" sId="1">
    <oc r="I81">
      <v>121</v>
    </oc>
    <nc r="I81">
      <v>258</v>
    </nc>
  </rcc>
  <rcc rId="139516" sId="1">
    <oc r="K81">
      <v>126</v>
    </oc>
    <nc r="K81">
      <v>124</v>
    </nc>
  </rcc>
  <rcc rId="139517" sId="1">
    <oc r="L81">
      <v>2</v>
    </oc>
    <nc r="L81">
      <v>1</v>
    </nc>
  </rcc>
  <rcc rId="139518" sId="1">
    <oc r="M81" t="inlineStr">
      <is>
        <t>P6</t>
      </is>
    </oc>
    <nc r="M81" t="inlineStr">
      <is>
        <t>P9A</t>
      </is>
    </nc>
  </rcc>
  <rcc rId="139519" sId="1">
    <oc r="N81">
      <v>9</v>
    </oc>
    <nc r="N81">
      <v>12</v>
    </nc>
  </rcc>
  <rcc rId="139520" sId="1">
    <oc r="G82" t="inlineStr">
      <is>
        <t>B738</t>
      </is>
    </oc>
    <nc r="G82" t="inlineStr">
      <is>
        <t>A320</t>
      </is>
    </nc>
  </rcc>
  <rcc rId="139521" sId="1">
    <oc r="H82" t="inlineStr">
      <is>
        <t>ENVOY</t>
      </is>
    </oc>
    <nc r="H82" t="inlineStr">
      <is>
        <t>CARIPORTS</t>
      </is>
    </nc>
  </rcc>
  <rcc rId="139522" sId="1">
    <oc r="I82">
      <v>147</v>
    </oc>
    <nc r="I82">
      <v>160</v>
    </nc>
  </rcc>
  <rcc rId="139523" sId="1">
    <oc r="K82">
      <v>169</v>
    </oc>
    <nc r="K82">
      <v>160</v>
    </nc>
  </rcc>
  <rcc rId="139524" sId="1">
    <oc r="L82">
      <v>17</v>
    </oc>
    <nc r="L82">
      <v>2</v>
    </nc>
  </rcc>
  <rcc rId="139525" sId="1">
    <oc r="M82" t="inlineStr">
      <is>
        <t>B28</t>
      </is>
    </oc>
    <nc r="M82" t="inlineStr">
      <is>
        <t>P8A</t>
      </is>
    </nc>
  </rcc>
  <rcc rId="139526" sId="1">
    <oc r="N82">
      <v>28</v>
    </oc>
    <nc r="N82">
      <v>8</v>
    </nc>
  </rcc>
  <rcc rId="139527" sId="1">
    <oc r="O82" t="inlineStr">
      <is>
        <t>B</t>
      </is>
    </oc>
    <nc r="O82" t="inlineStr">
      <is>
        <t>A</t>
      </is>
    </nc>
  </rcc>
  <rcc rId="139528" sId="1">
    <oc r="G83" t="inlineStr">
      <is>
        <t>A359</t>
      </is>
    </oc>
    <nc r="G83" t="inlineStr">
      <is>
        <t>A320</t>
      </is>
    </nc>
  </rcc>
  <rcc rId="139529" sId="1">
    <oc r="H83" t="inlineStr">
      <is>
        <t>G.A.S</t>
      </is>
    </oc>
    <nc r="H83" t="inlineStr">
      <is>
        <t>JETBLUE</t>
      </is>
    </nc>
  </rcc>
  <rcc rId="139530" sId="1">
    <oc r="I83">
      <v>162</v>
    </oc>
    <nc r="I83">
      <v>131</v>
    </nc>
  </rcc>
  <rcc rId="139531" sId="1">
    <oc r="K83">
      <v>359</v>
    </oc>
    <nc r="K83">
      <v>69</v>
    </nc>
  </rcc>
  <rcc rId="139532" sId="1">
    <oc r="L83">
      <v>5</v>
    </oc>
    <nc r="L83">
      <v>3</v>
    </nc>
  </rcc>
  <rcc rId="139533" sId="1">
    <oc r="M83" t="inlineStr">
      <is>
        <t>P4</t>
      </is>
    </oc>
    <nc r="M83" t="inlineStr">
      <is>
        <t>N4</t>
      </is>
    </nc>
  </rcc>
  <rcc rId="139534" sId="1">
    <oc r="N83">
      <v>16</v>
    </oc>
    <nc r="N83">
      <v>7</v>
    </nc>
  </rcc>
  <rcc rId="139535" sId="1">
    <oc r="H84" t="inlineStr">
      <is>
        <t>CARIPORTS</t>
      </is>
    </oc>
    <nc r="H84" t="inlineStr">
      <is>
        <t>JETBLUE</t>
      </is>
    </nc>
  </rcc>
  <rcc rId="139536" sId="1">
    <oc r="I84">
      <v>147</v>
    </oc>
    <nc r="I84">
      <v>139</v>
    </nc>
  </rcc>
  <rcc rId="139537" sId="1">
    <oc r="K84">
      <v>114</v>
    </oc>
    <nc r="K84">
      <v>133</v>
    </nc>
  </rcc>
  <rcc rId="139538" sId="1">
    <oc r="L84">
      <v>6</v>
    </oc>
    <nc r="L84">
      <v>5</v>
    </nc>
  </rcc>
  <rcc rId="139539" sId="1">
    <oc r="M84" t="inlineStr">
      <is>
        <t>N4</t>
      </is>
    </oc>
    <nc r="M84" t="inlineStr">
      <is>
        <t>N3</t>
      </is>
    </nc>
  </rcc>
  <rcc rId="139540" sId="1">
    <oc r="N84">
      <v>8</v>
    </oc>
    <nc r="N84">
      <v>2</v>
    </nc>
  </rcc>
  <rcc rId="139541" sId="1">
    <oc r="G85" t="inlineStr">
      <is>
        <t>B38M</t>
      </is>
    </oc>
    <nc r="G85" t="inlineStr">
      <is>
        <t>A320</t>
      </is>
    </nc>
  </rcc>
  <rcc rId="139542" sId="1">
    <oc r="H85" t="inlineStr">
      <is>
        <t>SERVAIR</t>
      </is>
    </oc>
    <nc r="H85" t="inlineStr">
      <is>
        <t>AVIANCA</t>
      </is>
    </nc>
  </rcc>
  <rcc rId="139543" sId="1">
    <oc r="K85">
      <v>163</v>
    </oc>
    <nc r="K85">
      <v>156</v>
    </nc>
  </rcc>
  <rcc rId="139544" sId="1">
    <oc r="L85">
      <v>6</v>
    </oc>
    <nc r="L85">
      <v>1</v>
    </nc>
  </rcc>
  <rcc rId="139545" sId="1">
    <oc r="M85" t="inlineStr">
      <is>
        <t>P11</t>
      </is>
    </oc>
    <nc r="M85" t="inlineStr">
      <is>
        <t>P6</t>
      </is>
    </nc>
  </rcc>
  <rcc rId="139546" sId="1">
    <oc r="N85">
      <v>15</v>
    </oc>
    <nc r="N85">
      <v>4</v>
    </nc>
  </rcc>
  <rcc rId="139547" sId="1">
    <oc r="G86" t="inlineStr">
      <is>
        <t>B39M</t>
      </is>
    </oc>
    <nc r="G86" t="inlineStr">
      <is>
        <t>B738</t>
      </is>
    </nc>
  </rcc>
  <rcc rId="139548" sId="1">
    <oc r="H86" t="inlineStr">
      <is>
        <t>UNITED</t>
      </is>
    </oc>
    <nc r="H86" t="inlineStr">
      <is>
        <t>ENVOY</t>
      </is>
    </nc>
  </rcc>
  <rcc rId="139549" sId="1">
    <oc r="I86">
      <v>144</v>
    </oc>
    <nc r="I86">
      <v>170</v>
    </nc>
  </rcc>
  <rcc rId="139550" sId="1">
    <oc r="K86">
      <v>174</v>
    </oc>
    <nc r="K86">
      <v>136</v>
    </nc>
  </rcc>
  <rcc rId="139551" sId="1">
    <oc r="L86">
      <v>11</v>
    </oc>
    <nc r="L86">
      <v>18</v>
    </nc>
  </rcc>
  <rcc rId="139552" sId="1">
    <oc r="M86" t="inlineStr">
      <is>
        <t>B23</t>
      </is>
    </oc>
    <nc r="M86" t="inlineStr">
      <is>
        <t>B27</t>
      </is>
    </nc>
  </rcc>
  <rcc rId="139553" sId="1">
    <oc r="N86">
      <v>23</v>
    </oc>
    <nc r="N86">
      <v>27</v>
    </nc>
  </rcc>
  <rcc rId="139554" sId="1">
    <oc r="G87" t="inlineStr">
      <is>
        <t>A320</t>
      </is>
    </oc>
    <nc r="G87" t="inlineStr">
      <is>
        <t>B37M</t>
      </is>
    </nc>
  </rcc>
  <rcc rId="139555" sId="1">
    <oc r="H87" t="inlineStr">
      <is>
        <t>JETBLUE</t>
      </is>
    </oc>
    <nc r="H87" t="inlineStr">
      <is>
        <t>CARIPORTS</t>
      </is>
    </nc>
  </rcc>
  <rcc rId="139556" sId="1">
    <oc r="I87">
      <v>138</v>
    </oc>
    <nc r="I87">
      <v>153</v>
    </nc>
  </rcc>
  <rcc rId="139557" sId="1">
    <oc r="K87">
      <v>119</v>
    </oc>
    <nc r="K87">
      <v>161</v>
    </nc>
  </rcc>
  <rcc rId="139558" sId="1">
    <oc r="L87">
      <v>2</v>
    </oc>
    <nc r="L87">
      <v>11</v>
    </nc>
  </rcc>
  <rcc rId="139559" sId="1">
    <oc r="M87" t="inlineStr">
      <is>
        <t>N3</t>
      </is>
    </oc>
    <nc r="M87" t="inlineStr">
      <is>
        <t>B22</t>
      </is>
    </nc>
  </rcc>
  <rcc rId="139560" sId="1">
    <oc r="N87">
      <v>4</v>
    </oc>
    <nc r="N87">
      <v>22</v>
    </nc>
  </rcc>
  <rcc rId="139561" sId="1">
    <oc r="O87" t="inlineStr">
      <is>
        <t>A</t>
      </is>
    </oc>
    <nc r="O87" t="inlineStr">
      <is>
        <t>B</t>
      </is>
    </nc>
  </rcc>
  <rcc rId="139562" sId="1">
    <oc r="G88" t="inlineStr">
      <is>
        <t>A321</t>
      </is>
    </oc>
    <nc r="G88" t="inlineStr">
      <is>
        <t>A359</t>
      </is>
    </nc>
  </rcc>
  <rcc rId="139563" sId="1">
    <oc r="I88">
      <v>181</v>
    </oc>
    <nc r="I88">
      <v>189</v>
    </nc>
  </rcc>
  <rcc rId="139564" sId="1">
    <oc r="K88">
      <v>179</v>
    </oc>
    <nc r="K88">
      <v>336</v>
    </nc>
  </rcc>
  <rcc rId="139565" sId="1">
    <oc r="L88">
      <v>16</v>
    </oc>
    <nc r="L88">
      <v>15</v>
    </nc>
  </rcc>
  <rcc rId="139566" sId="1">
    <oc r="M88" t="inlineStr">
      <is>
        <t>B32</t>
      </is>
    </oc>
    <nc r="M88" t="inlineStr">
      <is>
        <t>B30</t>
      </is>
    </nc>
  </rcc>
  <rcc rId="139567" sId="1">
    <oc r="N88">
      <v>32</v>
    </oc>
    <nc r="N88">
      <v>30</v>
    </nc>
  </rcc>
  <rcc rId="139568" sId="1">
    <oc r="G89" t="inlineStr">
      <is>
        <t>A330</t>
      </is>
    </oc>
    <nc r="G89" t="inlineStr">
      <is>
        <t>A320</t>
      </is>
    </nc>
  </rcc>
  <rcc rId="139569" sId="1">
    <oc r="H89" t="inlineStr">
      <is>
        <t>SERVAIR</t>
      </is>
    </oc>
    <nc r="H89" t="inlineStr">
      <is>
        <t>AVIANCA</t>
      </is>
    </nc>
  </rcc>
  <rcc rId="139570" sId="1">
    <oc r="I89">
      <v>270</v>
    </oc>
    <nc r="I89">
      <v>163</v>
    </nc>
  </rcc>
  <rcc rId="139571" sId="1">
    <oc r="K89">
      <v>267</v>
    </oc>
    <nc r="K89">
      <v>166</v>
    </nc>
  </rcc>
  <rcc rId="139572" sId="1">
    <oc r="L89">
      <v>3</v>
    </oc>
    <nc r="L89">
      <v>6</v>
    </nc>
  </rcc>
  <rcc rId="139573" sId="1">
    <oc r="M89" t="inlineStr">
      <is>
        <t>P3</t>
      </is>
    </oc>
    <nc r="M89" t="inlineStr">
      <is>
        <t>P7</t>
      </is>
    </nc>
  </rcc>
  <rcc rId="139574" sId="1">
    <oc r="N89">
      <v>14</v>
    </oc>
    <nc r="N89">
      <v>6</v>
    </nc>
  </rcc>
  <rcc rId="139575" sId="1">
    <oc r="G90" t="inlineStr">
      <is>
        <t>B737</t>
      </is>
    </oc>
    <nc r="G90" t="inlineStr">
      <is>
        <t>A320</t>
      </is>
    </nc>
  </rcc>
  <rcc rId="139576" sId="1">
    <oc r="H90" t="inlineStr">
      <is>
        <t>A.A.G.</t>
      </is>
    </oc>
    <nc r="H90" t="inlineStr">
      <is>
        <t>E.T HEINSEN</t>
      </is>
    </nc>
  </rcc>
  <rcc rId="139577" sId="1">
    <oc r="I90">
      <v>162</v>
    </oc>
    <nc r="I90">
      <v>42</v>
    </nc>
  </rcc>
  <rcc rId="139578" sId="1">
    <oc r="K90">
      <v>166</v>
    </oc>
    <nc r="K90">
      <v>150</v>
    </nc>
  </rcc>
  <rcc rId="139579" sId="1">
    <oc r="L90">
      <v>12</v>
    </oc>
    <nc r="L90">
      <v>6</v>
    </nc>
  </rcc>
  <rcc rId="139580" sId="1">
    <oc r="M90" t="inlineStr">
      <is>
        <t>B26A</t>
      </is>
    </oc>
    <nc r="M90" t="inlineStr">
      <is>
        <t>P5</t>
      </is>
    </nc>
  </rcc>
  <rcc rId="139581" sId="1">
    <oc r="N90">
      <v>26</v>
    </oc>
    <nc r="N90">
      <v>9</v>
    </nc>
  </rcc>
  <rcc rId="139582" sId="1">
    <oc r="O90" t="inlineStr">
      <is>
        <t>B</t>
      </is>
    </oc>
    <nc r="O90" t="inlineStr">
      <is>
        <t>A</t>
      </is>
    </nc>
  </rcc>
  <rcc rId="139583" sId="1">
    <oc r="G91">
      <v>220</v>
    </oc>
    <nc r="G91" t="inlineStr">
      <is>
        <t>B738</t>
      </is>
    </nc>
  </rcc>
  <rcc rId="139584" sId="1">
    <oc r="H91" t="inlineStr">
      <is>
        <t>JETBLUE</t>
      </is>
    </oc>
    <nc r="H91" t="inlineStr">
      <is>
        <t>A.A.G.</t>
      </is>
    </nc>
  </rcc>
  <rcc rId="139585" sId="1">
    <oc r="I91">
      <v>87</v>
    </oc>
    <nc r="I91">
      <v>156</v>
    </nc>
  </rcc>
  <rcc rId="139586" sId="1">
    <oc r="K91">
      <v>115</v>
    </oc>
    <nc r="K91">
      <v>155</v>
    </nc>
  </rcc>
  <rcc rId="139587" sId="1">
    <oc r="L91">
      <v>3</v>
    </oc>
    <nc r="L91">
      <v>12</v>
    </nc>
  </rcc>
  <rcc rId="139588" sId="1">
    <oc r="M91" t="inlineStr">
      <is>
        <t>N2</t>
      </is>
    </oc>
    <nc r="M91" t="inlineStr">
      <is>
        <t>B20</t>
      </is>
    </nc>
  </rcc>
  <rcc rId="139589" sId="1">
    <oc r="N91">
      <v>2</v>
    </oc>
    <nc r="N91">
      <v>20</v>
    </nc>
  </rcc>
  <rcc rId="139590" sId="1">
    <oc r="O91" t="inlineStr">
      <is>
        <t>A</t>
      </is>
    </oc>
    <nc r="O91" t="inlineStr">
      <is>
        <t>B</t>
      </is>
    </nc>
  </rcc>
  <rcc rId="139591" sId="1">
    <oc r="G92" t="inlineStr">
      <is>
        <t>B38M</t>
      </is>
    </oc>
    <nc r="G92" t="inlineStr">
      <is>
        <t>B39M</t>
      </is>
    </nc>
  </rcc>
  <rcc rId="139592" sId="1">
    <oc r="H92" t="inlineStr">
      <is>
        <t>A.A.G.</t>
      </is>
    </oc>
    <nc r="H92" t="inlineStr">
      <is>
        <t>UNITED</t>
      </is>
    </nc>
  </rcc>
  <rcc rId="139593" sId="1">
    <oc r="I92">
      <v>144</v>
    </oc>
    <nc r="I92">
      <v>178</v>
    </nc>
  </rcc>
  <rcc rId="139594" sId="1">
    <oc r="K92">
      <v>189</v>
    </oc>
    <nc r="K92">
      <v>149</v>
    </nc>
  </rcc>
  <rcc rId="139595" sId="1">
    <oc r="L92">
      <v>11</v>
    </oc>
    <nc r="L92">
      <v>13</v>
    </nc>
  </rcc>
  <rcc rId="139596" sId="1">
    <oc r="M92" t="inlineStr">
      <is>
        <t>B22</t>
      </is>
    </oc>
    <nc r="M92" t="inlineStr">
      <is>
        <t>B21</t>
      </is>
    </nc>
  </rcc>
  <rcc rId="139597" sId="1">
    <oc r="N92">
      <v>22</v>
    </oc>
    <nc r="N92">
      <v>21</v>
    </nc>
  </rcc>
  <rcc rId="139598" sId="1">
    <oc r="G93" t="inlineStr">
      <is>
        <t>B787</t>
      </is>
    </oc>
    <nc r="G93" t="inlineStr">
      <is>
        <t>A339</t>
      </is>
    </nc>
  </rcc>
  <rcc rId="139599" sId="1">
    <oc r="I93">
      <v>119</v>
    </oc>
    <nc r="I93">
      <v>286</v>
    </nc>
  </rcc>
  <rcc rId="139600" sId="1">
    <oc r="K93">
      <v>223</v>
    </oc>
    <nc r="K93">
      <v>305</v>
    </nc>
  </rcc>
  <rcc rId="139601" sId="1">
    <oc r="L93">
      <v>6</v>
    </oc>
    <nc r="L93">
      <v>1</v>
    </nc>
  </rcc>
  <rcc rId="139602" sId="1">
    <oc r="M93" t="inlineStr">
      <is>
        <t>P7</t>
      </is>
    </oc>
    <nc r="M93" t="inlineStr">
      <is>
        <t>P11A</t>
      </is>
    </nc>
  </rcc>
  <rcc rId="139603" sId="1">
    <oc r="N93">
      <v>12</v>
    </oc>
    <nc r="N93">
      <v>15</v>
    </nc>
  </rcc>
  <rcc rId="139604" sId="1">
    <oc r="H94" t="inlineStr">
      <is>
        <t>CARIPORTS</t>
      </is>
    </oc>
    <nc r="H94" t="inlineStr">
      <is>
        <t>E.T HEINSEN</t>
      </is>
    </nc>
  </rcc>
  <rcc rId="139605" sId="1">
    <oc r="I94">
      <v>180</v>
    </oc>
    <nc r="I94">
      <v>121</v>
    </nc>
  </rcc>
  <rcc rId="139606" sId="1">
    <oc r="K94">
      <v>164</v>
    </oc>
    <nc r="K94">
      <v>156</v>
    </nc>
  </rcc>
  <rcc rId="139607" sId="1">
    <oc r="L94">
      <v>1</v>
    </oc>
    <nc r="L94">
      <v>2</v>
    </nc>
  </rcc>
  <rcc rId="139608" sId="1">
    <oc r="M94" t="inlineStr">
      <is>
        <t>P9</t>
      </is>
    </oc>
    <nc r="M94" t="inlineStr">
      <is>
        <t>P9A</t>
      </is>
    </nc>
  </rcc>
  <rcc rId="139609" sId="1">
    <oc r="N94">
      <v>10</v>
    </oc>
    <nc r="N94">
      <v>11</v>
    </nc>
  </rcc>
  <rcc rId="139610" sId="1">
    <oc r="G95" t="inlineStr">
      <is>
        <t>B738</t>
      </is>
    </oc>
    <nc r="G95" t="inlineStr">
      <is>
        <t>B38M</t>
      </is>
    </nc>
  </rcc>
  <rcc rId="139611" sId="1">
    <oc r="H95" t="inlineStr">
      <is>
        <t>ENVOY</t>
      </is>
    </oc>
    <nc r="H95" t="inlineStr">
      <is>
        <t>A.A.G.</t>
      </is>
    </nc>
  </rcc>
  <rcc rId="139612" sId="1">
    <oc r="I95">
      <v>155</v>
    </oc>
    <nc r="I95">
      <v>181</v>
    </nc>
  </rcc>
  <rcc rId="139613" sId="1">
    <oc r="J95" t="inlineStr">
      <is>
        <t>N/A</t>
      </is>
    </oc>
    <nc r="J95">
      <v>9</v>
    </nc>
  </rcc>
  <rcc rId="139614" sId="1">
    <oc r="K95">
      <v>163</v>
    </oc>
    <nc r="K95">
      <v>170</v>
    </nc>
  </rcc>
  <rcc rId="139615" sId="1">
    <oc r="L95">
      <v>14</v>
    </oc>
    <nc r="L95">
      <v>11</v>
    </nc>
  </rcc>
  <rcc rId="139616" sId="1">
    <oc r="M95" t="inlineStr">
      <is>
        <t>B27</t>
      </is>
    </oc>
    <nc r="M95" t="inlineStr">
      <is>
        <t>B24</t>
      </is>
    </nc>
  </rcc>
  <rcc rId="139617" sId="1">
    <oc r="N95">
      <v>27</v>
    </oc>
    <nc r="N95">
      <v>24</v>
    </nc>
  </rcc>
  <rcc rId="139618" sId="1">
    <oc r="G96" t="inlineStr">
      <is>
        <t>A320</t>
      </is>
    </oc>
    <nc r="G96" t="inlineStr">
      <is>
        <t>B787</t>
      </is>
    </nc>
  </rcc>
  <rcc rId="139619" sId="1">
    <oc r="H96" t="inlineStr">
      <is>
        <t>JETBLUE</t>
      </is>
    </oc>
    <nc r="H96" t="inlineStr">
      <is>
        <t>SERVAIR</t>
      </is>
    </nc>
  </rcc>
  <rcc rId="139620" sId="1">
    <oc r="I96">
      <v>150</v>
    </oc>
    <nc r="I96">
      <v>307</v>
    </nc>
  </rcc>
  <rcc rId="139621" sId="1">
    <oc r="K96">
      <v>118</v>
    </oc>
    <nc r="K96">
      <v>306</v>
    </nc>
  </rcc>
  <rcc rId="139622" sId="1">
    <oc r="L96">
      <v>2</v>
    </oc>
    <nc r="L96">
      <v>13</v>
    </nc>
  </rcc>
  <rcc rId="139623" sId="1">
    <oc r="M96" t="inlineStr">
      <is>
        <t>P5</t>
      </is>
    </oc>
    <nc r="M96" t="inlineStr">
      <is>
        <t>B25</t>
      </is>
    </nc>
  </rcc>
  <rcc rId="139624" sId="1">
    <oc r="N96">
      <v>4</v>
    </oc>
    <nc r="N96">
      <v>25</v>
    </nc>
  </rcc>
  <rcc rId="139625" sId="1">
    <oc r="O96" t="inlineStr">
      <is>
        <t>A</t>
      </is>
    </oc>
    <nc r="O96" t="inlineStr">
      <is>
        <t>B</t>
      </is>
    </nc>
  </rcc>
  <rcc rId="139626" sId="1">
    <oc r="I97">
      <v>167</v>
    </oc>
    <nc r="I97">
      <v>178</v>
    </nc>
  </rcc>
  <rcc rId="139627" sId="1">
    <oc r="J97">
      <v>34</v>
    </oc>
    <nc r="J97">
      <v>14</v>
    </nc>
  </rcc>
  <rcc rId="139628" sId="1">
    <oc r="M97" t="inlineStr">
      <is>
        <t>B20</t>
      </is>
    </oc>
    <nc r="M97" t="inlineStr">
      <is>
        <t>B26A</t>
      </is>
    </nc>
  </rcc>
  <rcc rId="139629" sId="1">
    <oc r="N97">
      <v>20</v>
    </oc>
    <nc r="N97">
      <v>26</v>
    </nc>
  </rcc>
  <rcc rId="139630" sId="1">
    <oc r="I98">
      <v>183</v>
    </oc>
    <nc r="I98">
      <v>136</v>
    </nc>
  </rcc>
  <rcc rId="139631" sId="1">
    <oc r="J98">
      <v>19</v>
    </oc>
    <nc r="J98">
      <v>15</v>
    </nc>
  </rcc>
  <rcc rId="139632" sId="1">
    <oc r="L98">
      <v>13</v>
    </oc>
    <nc r="L98">
      <v>12</v>
    </nc>
  </rcc>
  <rcc rId="139633" sId="1">
    <oc r="M98" t="inlineStr">
      <is>
        <t>B23</t>
      </is>
    </oc>
    <nc r="M98" t="inlineStr">
      <is>
        <t>B20</t>
      </is>
    </nc>
  </rcc>
  <rcc rId="139634" sId="1">
    <oc r="N98">
      <v>23</v>
    </oc>
    <nc r="N98">
      <v>20</v>
    </nc>
  </rcc>
  <rcc rId="139635" sId="1">
    <oc r="G99" t="inlineStr">
      <is>
        <t>A320</t>
      </is>
    </oc>
    <nc r="G99" t="inlineStr">
      <is>
        <t>A20N</t>
      </is>
    </nc>
  </rcc>
  <rcc rId="139636" sId="1">
    <oc r="H99" t="inlineStr">
      <is>
        <t>AVIANCA</t>
      </is>
    </oc>
    <nc r="H99" t="inlineStr">
      <is>
        <t>CARIPORTS</t>
      </is>
    </nc>
  </rcc>
  <rcc rId="139637" sId="1">
    <oc r="I99">
      <v>166</v>
    </oc>
    <nc r="I99">
      <v>173</v>
    </nc>
  </rcc>
  <rcc rId="139638" sId="1">
    <oc r="K99">
      <v>167</v>
    </oc>
    <nc r="K99">
      <v>47</v>
    </nc>
  </rcc>
  <rcc rId="139639" sId="1">
    <oc r="M99" t="inlineStr">
      <is>
        <t>P8A</t>
      </is>
    </oc>
    <nc r="M99" t="inlineStr">
      <is>
        <t>P7</t>
      </is>
    </nc>
  </rcc>
  <rcc rId="139640" sId="1">
    <oc r="N99">
      <v>7</v>
    </oc>
    <nc r="N99">
      <v>1</v>
    </nc>
  </rcc>
  <rcc rId="139641" sId="1">
    <oc r="G100" t="inlineStr">
      <is>
        <t>A359</t>
      </is>
    </oc>
    <nc r="G100" t="inlineStr">
      <is>
        <t>B38M</t>
      </is>
    </nc>
  </rcc>
  <rcc rId="139642" sId="1">
    <oc r="H100" t="inlineStr">
      <is>
        <t>SERVAIR</t>
      </is>
    </oc>
    <nc r="H100" t="inlineStr">
      <is>
        <t>A.A.G.</t>
      </is>
    </nc>
  </rcc>
  <rcc rId="139643" sId="1">
    <oc r="I100">
      <v>188</v>
    </oc>
    <nc r="I100">
      <v>146</v>
    </nc>
  </rcc>
  <rcc rId="139644" sId="1">
    <oc r="J100" t="inlineStr">
      <is>
        <t>N/A</t>
      </is>
    </oc>
    <nc r="J100">
      <v>7</v>
    </nc>
  </rcc>
  <rcc rId="139645" sId="1">
    <oc r="L100">
      <v>15</v>
    </oc>
    <nc r="L100">
      <v>11</v>
    </nc>
  </rcc>
  <rcc rId="139646" sId="1">
    <oc r="M100" t="inlineStr">
      <is>
        <t>B30</t>
      </is>
    </oc>
    <nc r="M100" t="inlineStr">
      <is>
        <t>B21</t>
      </is>
    </nc>
  </rcc>
  <rcc rId="139647" sId="1">
    <oc r="N100">
      <v>30</v>
    </oc>
    <nc r="N100">
      <v>21</v>
    </nc>
  </rcc>
  <rcc rId="139648" sId="1">
    <oc r="I101">
      <v>184</v>
    </oc>
    <nc r="I101">
      <v>146</v>
    </nc>
  </rcc>
  <rcc rId="139649" sId="1">
    <oc r="J101">
      <v>10</v>
    </oc>
    <nc r="J101">
      <v>11</v>
    </nc>
  </rcc>
  <rcc rId="139650" sId="1">
    <oc r="M101" t="inlineStr">
      <is>
        <t>B24</t>
      </is>
    </oc>
    <nc r="M101" t="inlineStr">
      <is>
        <t>B23B</t>
      </is>
    </nc>
  </rcc>
  <rcc rId="139651" sId="1">
    <oc r="N101">
      <v>24</v>
    </oc>
    <nc r="N101">
      <v>23</v>
    </nc>
  </rcc>
  <rcc rId="139652" sId="1">
    <oc r="G102" t="inlineStr">
      <is>
        <t>A320</t>
      </is>
    </oc>
    <nc r="G102" t="inlineStr">
      <is>
        <t>B38M</t>
      </is>
    </nc>
  </rcc>
  <rcc rId="139653" sId="1">
    <oc r="H102" t="inlineStr">
      <is>
        <t>JETBLUE</t>
      </is>
    </oc>
    <nc r="H102" t="inlineStr">
      <is>
        <t>A.A.G.</t>
      </is>
    </nc>
  </rcc>
  <rcc rId="139654" sId="1">
    <oc r="I102">
      <v>94</v>
    </oc>
    <nc r="I102">
      <v>130</v>
    </nc>
  </rcc>
  <rcc rId="139655" sId="1">
    <oc r="J102" t="inlineStr">
      <is>
        <t>N/A</t>
      </is>
    </oc>
    <nc r="J102">
      <v>11</v>
    </nc>
  </rcc>
  <rcc rId="139656" sId="1">
    <oc r="L102">
      <v>5</v>
    </oc>
    <nc r="L102">
      <v>13</v>
    </nc>
  </rcc>
  <rcc rId="139657" sId="1">
    <oc r="M102" t="inlineStr">
      <is>
        <t>N5</t>
      </is>
    </oc>
    <nc r="M102" t="inlineStr">
      <is>
        <t>B22</t>
      </is>
    </nc>
  </rcc>
  <rcc rId="139658" sId="1">
    <oc r="N102">
      <v>6</v>
    </oc>
    <nc r="N102">
      <v>22</v>
    </nc>
  </rcc>
  <rcc rId="139659" sId="1">
    <oc r="O102" t="inlineStr">
      <is>
        <t>A</t>
      </is>
    </oc>
    <nc r="O102" t="inlineStr">
      <is>
        <t>B</t>
      </is>
    </nc>
  </rcc>
  <rcc rId="139660" sId="1">
    <oc r="J10">
      <v>25</v>
    </oc>
    <nc r="J10" t="inlineStr">
      <is>
        <t>N/A</t>
      </is>
    </nc>
  </rcc>
  <rcc rId="139661" sId="1">
    <oc r="J13">
      <v>36</v>
    </oc>
    <nc r="J13" t="inlineStr">
      <is>
        <t>N/A</t>
      </is>
    </nc>
  </rcc>
  <rcc rId="139662" sId="1">
    <oc r="J14" t="inlineStr">
      <is>
        <t>CARGA</t>
      </is>
    </oc>
    <nc r="J14" t="inlineStr">
      <is>
        <t>N/A</t>
      </is>
    </nc>
  </rcc>
  <rcc rId="139663" sId="1">
    <oc r="J75">
      <v>4</v>
    </oc>
    <nc r="J75" t="inlineStr">
      <is>
        <t>N/A</t>
      </is>
    </nc>
  </rcc>
  <rcc rId="139664" sId="1">
    <oc r="J92">
      <v>14</v>
    </oc>
    <nc r="J92" t="inlineStr">
      <is>
        <t>N/A</t>
      </is>
    </nc>
  </rcc>
  <rcc rId="139665" sId="1">
    <oc r="K6">
      <v>148</v>
    </oc>
    <nc r="K6" t="inlineStr">
      <is>
        <t>N/A</t>
      </is>
    </nc>
  </rcc>
  <rcc rId="139666" sId="1">
    <oc r="K11">
      <v>137</v>
    </oc>
    <nc r="K11" t="inlineStr">
      <is>
        <t>N/A</t>
      </is>
    </nc>
  </rcc>
  <rcc rId="139667" sId="1">
    <oc r="K97">
      <v>155</v>
    </oc>
    <nc r="K97" t="inlineStr">
      <is>
        <t>N/A</t>
      </is>
    </nc>
  </rcc>
  <rcc rId="139668" sId="1">
    <oc r="K98">
      <v>134</v>
    </oc>
    <nc r="K98" t="inlineStr">
      <is>
        <t>N/A</t>
      </is>
    </nc>
  </rcc>
  <rcc rId="139669" sId="1">
    <oc r="K100">
      <v>336</v>
    </oc>
    <nc r="K100" t="inlineStr">
      <is>
        <t>N/A</t>
      </is>
    </nc>
  </rcc>
  <rcc rId="139670" sId="1">
    <oc r="K101">
      <v>161</v>
    </oc>
    <nc r="K101" t="inlineStr">
      <is>
        <t>N/A</t>
      </is>
    </nc>
  </rcc>
  <rcc rId="139671" sId="1">
    <oc r="K102">
      <v>150</v>
    </oc>
    <nc r="K102" t="inlineStr">
      <is>
        <t>N/A</t>
      </is>
    </nc>
  </rcc>
  <rcc rId="139672" sId="1">
    <oc r="L6">
      <v>16</v>
    </oc>
    <nc r="L6" t="inlineStr">
      <is>
        <t>N/A</t>
      </is>
    </nc>
  </rcc>
  <rcc rId="139673" sId="1">
    <oc r="I3">
      <v>140</v>
    </oc>
    <nc r="I3" t="inlineStr">
      <is>
        <t>N/A</t>
      </is>
    </nc>
  </rcc>
  <rcc rId="139674" sId="1">
    <oc r="K3">
      <v>167</v>
    </oc>
    <nc r="K3" t="inlineStr">
      <is>
        <t>N/A</t>
      </is>
    </nc>
  </rcc>
  <rcc rId="139675" sId="1">
    <oc r="K4">
      <v>140</v>
    </oc>
    <nc r="K4" t="inlineStr">
      <is>
        <t>N/A</t>
      </is>
    </nc>
  </rcc>
  <rcc rId="139676" sId="1">
    <oc r="K66">
      <v>150</v>
    </oc>
    <nc r="K66" t="inlineStr">
      <is>
        <t>N/A</t>
      </is>
    </nc>
  </rcc>
  <rcc rId="139677" sId="1">
    <oc r="I66">
      <v>138</v>
    </oc>
    <nc r="I66" t="inlineStr">
      <is>
        <t>N/A</t>
      </is>
    </nc>
  </rcc>
  <rcc rId="139678" sId="1">
    <oc r="L4">
      <v>15</v>
    </oc>
    <nc r="L4" t="inlineStr">
      <is>
        <t>N/A</t>
      </is>
    </nc>
  </rcc>
  <rcc rId="139679" sId="1">
    <oc r="N4">
      <v>22</v>
    </oc>
    <nc r="N4" t="inlineStr">
      <is>
        <t>N/A</t>
      </is>
    </nc>
  </rcc>
  <rcc rId="139680" sId="1">
    <oc r="N6">
      <v>26</v>
    </oc>
    <nc r="N6" t="inlineStr">
      <is>
        <t>N/A</t>
      </is>
    </nc>
  </rcc>
  <rcc rId="139681" sId="1">
    <oc r="G84" t="inlineStr">
      <is>
        <t>A321</t>
      </is>
    </oc>
    <nc r="G84" t="inlineStr">
      <is>
        <t>A220</t>
      </is>
    </nc>
  </rcc>
  <rcc rId="139682" sId="1">
    <oc r="G14" t="inlineStr">
      <is>
        <t>B733</t>
      </is>
    </oc>
    <nc r="G14" t="inlineStr">
      <is>
        <t>A220</t>
      </is>
    </nc>
  </rcc>
  <rcc rId="139683" sId="1">
    <oc r="C3" t="inlineStr">
      <is>
        <t>AAL 931N</t>
      </is>
    </oc>
    <nc r="C3" t="inlineStr">
      <is>
        <t>DWI 1141</t>
      </is>
    </nc>
  </rcc>
  <rcc rId="139684" sId="1">
    <oc r="C4" t="inlineStr">
      <is>
        <t>DWI 5420</t>
      </is>
    </oc>
    <nc r="C4" t="inlineStr">
      <is>
        <t>UCG 193</t>
      </is>
    </nc>
  </rcc>
  <rcc rId="139685" sId="1">
    <oc r="C5" t="inlineStr">
      <is>
        <t>DWI 7104</t>
      </is>
    </oc>
    <nc r="C5" t="inlineStr">
      <is>
        <t>DWI 6200</t>
      </is>
    </nc>
  </rcc>
  <rcc rId="139686" sId="1">
    <oc r="L5">
      <v>17</v>
    </oc>
    <nc r="L5" t="inlineStr">
      <is>
        <t>N/A</t>
      </is>
    </nc>
  </rcc>
  <rcc rId="139687" sId="1" numFmtId="23">
    <oc r="E102">
      <v>46158.781944444447</v>
    </oc>
    <nc r="E102" t="inlineStr">
      <is>
        <t>OVER</t>
      </is>
    </nc>
  </rcc>
  <rcc rId="139688" sId="1" numFmtId="23">
    <oc r="E101">
      <v>46158.798611111109</v>
    </oc>
    <nc r="E101" t="inlineStr">
      <is>
        <t>OVER</t>
      </is>
    </nc>
  </rcc>
  <rcc rId="139689" sId="1" numFmtId="23">
    <oc r="E100">
      <v>46158.826388888891</v>
    </oc>
    <nc r="E100" t="inlineStr">
      <is>
        <t>OVER</t>
      </is>
    </nc>
  </rcc>
  <rcc rId="139690" sId="1" numFmtId="23">
    <oc r="E98">
      <v>46158.741666666669</v>
    </oc>
    <nc r="E98" t="inlineStr">
      <is>
        <t>OVER</t>
      </is>
    </nc>
  </rcc>
  <rcc rId="139691" sId="1" numFmtId="23">
    <oc r="E97">
      <v>46158.745833333334</v>
    </oc>
    <nc r="E97" t="inlineStr">
      <is>
        <t>OVER</t>
      </is>
    </nc>
  </rcc>
  <rcc rId="139692" sId="1">
    <oc r="C102" t="inlineStr">
      <is>
        <t>JBU 563/1268</t>
      </is>
    </oc>
    <nc r="C102" t="inlineStr">
      <is>
        <t>DWI 7003</t>
      </is>
    </nc>
  </rcc>
  <rcc rId="139693" sId="1">
    <oc r="C101" t="inlineStr">
      <is>
        <t>DWI 5803/5382</t>
      </is>
    </oc>
    <nc r="C101" t="inlineStr">
      <is>
        <t>DWI 5221</t>
      </is>
    </nc>
  </rcc>
  <rcc rId="139694" sId="1">
    <oc r="C100" t="inlineStr">
      <is>
        <t>EDW 034/035</t>
      </is>
    </oc>
    <nc r="C100" t="inlineStr">
      <is>
        <t>DWI 1501</t>
      </is>
    </nc>
  </rcc>
  <rcc rId="139695" sId="1">
    <oc r="C98" t="inlineStr">
      <is>
        <t>DWI 7007/6392</t>
      </is>
    </oc>
    <nc r="C98" t="inlineStr">
      <is>
        <t>DWI 1733</t>
      </is>
    </nc>
  </rcc>
  <rcc rId="139696" sId="1">
    <oc r="C97" t="inlineStr">
      <is>
        <t>DWI 5105/6462</t>
      </is>
    </oc>
    <nc r="C97" t="inlineStr">
      <is>
        <t>DWI 5101</t>
      </is>
    </nc>
  </rcc>
  <rcv guid="{FA56863A-4051-4578-AF28-08DCC59DE096}" action="delete"/>
  <rdn rId="0" localSheetId="1" customView="1" name="Z_FA56863A_4051_4578_AF28_08DCC59DE096_.wvu.PrintArea" hidden="1" oldHidden="1">
    <formula>Fecha!$A$1:$O$102</formula>
    <oldFormula>Fecha!$A$1:$O$102</oldFormula>
  </rdn>
  <rdn rId="0" localSheetId="1" customView="1" name="Z_FA56863A_4051_4578_AF28_08DCC59DE096_.wvu.FilterData" hidden="1" oldHidden="1">
    <formula>Fecha!$A$2:$O$103</formula>
    <oldFormula>Fecha!$A$2:$O$103</oldFormula>
  </rdn>
  <rcv guid="{FA56863A-4051-4578-AF28-08DCC59DE096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9699" sId="1">
    <oc r="E3">
      <v>46167.5</v>
    </oc>
    <nc r="E3" t="inlineStr">
      <is>
        <t>OVER</t>
      </is>
    </nc>
  </rcc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9700" sId="1">
    <oc r="F3" t="inlineStr">
      <is>
        <t>LRM-PUJ-TBC</t>
      </is>
    </oc>
    <nc r="F3" t="inlineStr">
      <is>
        <t>PUJ-TBC</t>
      </is>
    </nc>
  </rcc>
  <rcc rId="139701" sId="1">
    <oc r="F4" t="inlineStr">
      <is>
        <t>BOG-PUJ-MAR</t>
      </is>
    </oc>
    <nc r="F4" t="inlineStr">
      <is>
        <t>PUJ-MAR</t>
      </is>
    </nc>
  </rcc>
  <rcc rId="139702" sId="1">
    <oc r="F5" t="inlineStr">
      <is>
        <t>EZE-PUJ-EZE</t>
      </is>
    </oc>
    <nc r="F5" t="inlineStr">
      <is>
        <t>PUJ-EZE</t>
      </is>
    </nc>
  </rcc>
  <rcc rId="139703" sId="1">
    <oc r="F100" t="inlineStr">
      <is>
        <t>BOG-PUJ-GRU</t>
      </is>
    </oc>
    <nc r="F100" t="inlineStr">
      <is>
        <t>BOG-PUJ</t>
      </is>
    </nc>
  </rcc>
  <rcc rId="139704" sId="1">
    <oc r="F101" t="inlineStr">
      <is>
        <t>SFB-PUJ-CUN</t>
      </is>
    </oc>
    <nc r="F101" t="inlineStr">
      <is>
        <t>SFB-PUJ</t>
      </is>
    </nc>
  </rcc>
  <rcc rId="139705" sId="1">
    <oc r="F102" t="inlineStr">
      <is>
        <t>CUN-PUJ-EZE</t>
      </is>
    </oc>
    <nc r="F102" t="inlineStr">
      <is>
        <t>CUN-PUJ</t>
      </is>
    </nc>
  </rcc>
  <rcc rId="139706" sId="1">
    <oc r="F98" t="inlineStr">
      <is>
        <t>MDE-PUJ-NLU</t>
      </is>
    </oc>
    <nc r="F98" t="inlineStr">
      <is>
        <t>MDE-PUJ</t>
      </is>
    </nc>
  </rcc>
  <rcc rId="139707" sId="1">
    <oc r="F97" t="inlineStr">
      <is>
        <t>MIA-PUJ-YYZ</t>
      </is>
    </oc>
    <nc r="F97" t="inlineStr">
      <is>
        <t>MIA-PUJ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39708" sId="1" ref="A103:XFD103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09" sId="1" ref="A104:XFD104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0" sId="1" ref="A104:XFD104" action="insertRow" edge="1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1" sId="1" ref="A105:XFD105" action="insertRow" edge="1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2" sId="1" ref="A105:XFD105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3" sId="1" ref="A105:XFD105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4" sId="1" ref="A104:XFD104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rc rId="139715" sId="1" ref="A103:XFD103" action="insertRow">
    <undo index="1" exp="area" ref3D="1" dr="$H$1:$H$1048576" dn="Z_E8DEC859_2E0A_41F0_AEFE_3533977A4E3E_.wvu.Cols" sId="1"/>
    <undo index="65535" exp="area" ref3D="1" dr="$J$1:$J$1048576" dn="Z_F0B8FFC6_20B0_45DE_9311_A6A9D98DE641_.wvu.Cols" sId="1"/>
    <undo index="65535" exp="area" ref3D="1" dr="$J$1:$J$1048576" dn="Z_A866C1B7_78F3_4067_89B2_330E0D53500A_.wvu.Cols" sId="1"/>
    <undo index="65535" exp="area" ref3D="1" dr="$J$1:$J$1048576" dn="Z_95E57E58_8356_446E_9D54_EE5EBFD6747E_.wvu.Cols" sId="1"/>
    <undo index="65535" exp="area" ref3D="1" dr="$J$1:$J$1048576" dn="Z_36BAE4F1_545D_451B_981E_D0F138A15196_.wvu.Cols" sId="1"/>
    <undo index="65535" exp="area" ref3D="1" dr="$J$1:$J$1048576" dn="Z_10008C5C_A4D1_48FA_8FA6_39A95B03682D_.wvu.Cols" sId="1"/>
    <undo index="65535" exp="area" ref3D="1" dr="$J$1:$J$1048576" dn="Z_0B00F9FE_457A_4763_9AC1_CFA1966B22A2_.wvu.Cols" sId="1"/>
  </rrc>
  <rcc rId="139716" sId="1">
    <oc r="B3" t="inlineStr">
      <is>
        <t>ARAJET</t>
      </is>
    </oc>
    <nc r="B3" t="inlineStr">
      <is>
        <t>UNITED AIRLINES</t>
      </is>
    </nc>
  </rcc>
  <rcc rId="139717" sId="1" numFmtId="23">
    <oc r="E3" t="inlineStr">
      <is>
        <t>OVER</t>
      </is>
    </oc>
    <nc r="E3">
      <v>46168.777777777781</v>
    </nc>
  </rcc>
  <rcc rId="139718" sId="1">
    <oc r="B4" t="inlineStr">
      <is>
        <t xml:space="preserve">UNIWORLD AIR CARGO </t>
      </is>
    </oc>
    <nc r="B4" t="inlineStr">
      <is>
        <t>UNITED AIRLINES</t>
      </is>
    </nc>
  </rcc>
  <rcc rId="139719" sId="1">
    <oc r="B5" t="inlineStr">
      <is>
        <t>ARAJET</t>
      </is>
    </oc>
    <nc r="B5" t="inlineStr">
      <is>
        <t xml:space="preserve">UNIWORLD AIR CARGO </t>
      </is>
    </nc>
  </rcc>
  <rcc rId="139720" sId="1" numFmtId="23">
    <oc r="E5">
      <v>46164.46875</v>
    </oc>
    <nc r="E5">
      <v>46167.145833333336</v>
    </nc>
  </rcc>
  <rcc rId="139721" sId="1">
    <oc r="B6" t="inlineStr">
      <is>
        <t>AIR CANADA CARGO</t>
      </is>
    </oc>
    <nc r="B6" t="inlineStr">
      <is>
        <t>AIR TRANSAT</t>
      </is>
    </nc>
  </rcc>
  <rcc rId="139722" sId="1" numFmtId="23">
    <oc r="E6">
      <v>46164.065972222219</v>
    </oc>
    <nc r="E6">
      <v>46167.354166666664</v>
    </nc>
  </rcc>
  <rcc rId="139723" sId="1">
    <oc r="B7" t="inlineStr">
      <is>
        <t>JETBLUE AIRWAYS</t>
      </is>
    </oc>
    <nc r="B7" t="inlineStr">
      <is>
        <t>ARAJET</t>
      </is>
    </nc>
  </rcc>
  <rcc rId="139724" sId="1" numFmtId="23">
    <oc r="E7">
      <v>46164.429166666669</v>
    </oc>
    <nc r="E7">
      <v>46167.006944444445</v>
    </nc>
  </rcc>
  <rcc rId="139725" sId="1">
    <oc r="F7" t="inlineStr">
      <is>
        <t>FLL-PUJ-FLL</t>
      </is>
    </oc>
    <nc r="F7" t="inlineStr">
      <is>
        <t>SDQ-PUJ-ORD</t>
      </is>
    </nc>
  </rcc>
  <rcc rId="139726" sId="1" numFmtId="23">
    <oc r="E8">
      <v>46164.586111111108</v>
    </oc>
    <nc r="E8">
      <v>46167.21875</v>
    </nc>
  </rcc>
  <rcc rId="139727" sId="1">
    <oc r="F8" t="inlineStr">
      <is>
        <t>LIM-PUJ-MDE</t>
      </is>
    </oc>
    <nc r="F8" t="inlineStr">
      <is>
        <t>SDQ-PUJ-GRU</t>
      </is>
    </nc>
  </rcc>
  <rcc rId="139728" sId="1">
    <oc r="B9" t="inlineStr">
      <is>
        <t>JETBLUE AIRWAYS</t>
      </is>
    </oc>
    <nc r="B9" t="inlineStr">
      <is>
        <t>GLOBAL AIR X</t>
      </is>
    </nc>
  </rcc>
  <rcc rId="139729" sId="1">
    <oc r="C9" t="inlineStr">
      <is>
        <t>JBU 563/564</t>
      </is>
    </oc>
    <nc r="C9" t="inlineStr">
      <is>
        <t>GXA 6201/6202</t>
      </is>
    </nc>
  </rcc>
  <rcc rId="139730" sId="1" numFmtId="23">
    <oc r="D9">
      <v>46164.392361111109</v>
    </oc>
    <nc r="D9">
      <v>46167.354166666664</v>
    </nc>
  </rcc>
  <rcc rId="139731" sId="1" numFmtId="23">
    <oc r="E9">
      <v>46164.434027777781</v>
    </oc>
    <nc r="E9">
      <v>46167.395833333336</v>
    </nc>
  </rcc>
  <rcc rId="139732" sId="1">
    <oc r="F9" t="inlineStr">
      <is>
        <t>TPA-PUJ-TPA</t>
      </is>
    </oc>
    <nc r="F9" t="inlineStr">
      <is>
        <t>SJU-PUJ-SJU</t>
      </is>
    </nc>
  </rcc>
  <rcc rId="139733" sId="1">
    <oc r="C10" t="inlineStr">
      <is>
        <t>JBU 869/268</t>
      </is>
    </oc>
    <nc r="C10" t="inlineStr">
      <is>
        <t>JBU 1473/1474</t>
      </is>
    </nc>
  </rcc>
  <rcc rId="139734" sId="1" numFmtId="23">
    <oc r="D10">
      <v>46164.410416666666</v>
    </oc>
    <nc r="D10">
      <v>46167.387499999997</v>
    </nc>
  </rcc>
  <rcc rId="139735" sId="1" numFmtId="23">
    <oc r="E10">
      <v>46164.47152777778</v>
    </oc>
    <nc r="E10">
      <v>46167.429166666669</v>
    </nc>
  </rcc>
  <rcc rId="139736" sId="1">
    <oc r="F10" t="inlineStr">
      <is>
        <t>JFK-PUJ-JFK</t>
      </is>
    </oc>
    <nc r="F10" t="inlineStr">
      <is>
        <t>FLL-PUJ-FLL</t>
      </is>
    </nc>
  </rcc>
  <rcc rId="139737" sId="1">
    <oc r="C11" t="inlineStr">
      <is>
        <t>DWI 6087/5100</t>
      </is>
    </oc>
    <nc r="C11" t="inlineStr">
      <is>
        <t>DWI 6775/6200</t>
      </is>
    </nc>
  </rcc>
  <rcc rId="139738" sId="1" numFmtId="23">
    <oc r="D11">
      <v>46164.413194444445</v>
    </oc>
    <nc r="D11">
      <v>46167.388194444444</v>
    </nc>
  </rcc>
  <rcc rId="139739" sId="1" numFmtId="23">
    <oc r="E11">
      <v>46164.542361111111</v>
    </oc>
    <nc r="E11">
      <v>46167.46875</v>
    </nc>
  </rcc>
  <rcc rId="139740" sId="1">
    <oc r="F11" t="inlineStr">
      <is>
        <t>GRU-PUJ-MIA</t>
      </is>
    </oc>
    <nc r="F11" t="inlineStr">
      <is>
        <t>LIM-PUJ-EZE</t>
      </is>
    </nc>
  </rcc>
  <rcc rId="139741" sId="1">
    <oc r="B12" t="inlineStr">
      <is>
        <t>FRONTIER AIRLINES</t>
      </is>
    </oc>
    <nc r="B12" t="inlineStr">
      <is>
        <t>JETBLUE AIRWAYS</t>
      </is>
    </nc>
  </rcc>
  <rcc rId="139742" sId="1">
    <oc r="C12" t="inlineStr">
      <is>
        <t>FFT 66/67</t>
      </is>
    </oc>
    <nc r="C12" t="inlineStr">
      <is>
        <t>JBU 563/564</t>
      </is>
    </nc>
  </rcc>
  <rcc rId="139743" sId="1" numFmtId="23">
    <oc r="D12">
      <v>46164.440972222219</v>
    </oc>
    <nc r="D12">
      <v>46167.392361111109</v>
    </nc>
  </rcc>
  <rcc rId="139744" sId="1" numFmtId="23">
    <oc r="E12">
      <v>46164.489583333336</v>
    </oc>
    <nc r="E12">
      <v>46167.434027777781</v>
    </nc>
  </rcc>
  <rcc rId="139745" sId="1">
    <oc r="F12" t="inlineStr">
      <is>
        <t>MIA-PUJ-MIA</t>
      </is>
    </oc>
    <nc r="F12" t="inlineStr">
      <is>
        <t>TPA-PUJ-TPA</t>
      </is>
    </nc>
  </rcc>
  <rcc rId="139746" sId="1">
    <oc r="B13" t="inlineStr">
      <is>
        <t>FRONTIER AIRLINES</t>
      </is>
    </oc>
    <nc r="B13" t="inlineStr">
      <is>
        <t>JETBLUE AIRWAYS</t>
      </is>
    </nc>
  </rcc>
  <rcc rId="139747" sId="1">
    <oc r="C13" t="inlineStr">
      <is>
        <t>FFT 239/7</t>
      </is>
    </oc>
    <nc r="C13" t="inlineStr">
      <is>
        <t>JBU 869/268</t>
      </is>
    </nc>
  </rcc>
  <rcc rId="139748" sId="1" numFmtId="23">
    <oc r="D13">
      <v>46164.440972222219</v>
    </oc>
    <nc r="D13">
      <v>46167.410416666666</v>
    </nc>
  </rcc>
  <rcc rId="139749" sId="1" numFmtId="23">
    <oc r="E13">
      <v>46164.493055555555</v>
    </oc>
    <nc r="E13">
      <v>46167.47152777778</v>
    </nc>
  </rcc>
  <rcc rId="139750" sId="1">
    <oc r="F13" t="inlineStr">
      <is>
        <t>SJU-PUJ-STL</t>
      </is>
    </oc>
    <nc r="F13" t="inlineStr">
      <is>
        <t>JFK-PUJ-JFK</t>
      </is>
    </nc>
  </rcc>
  <rcc rId="139751" sId="1">
    <oc r="B14" t="inlineStr">
      <is>
        <t>JETBLUE AIRWAYS</t>
      </is>
    </oc>
    <nc r="B14" t="inlineStr">
      <is>
        <t>FRONTIER AIRLINES</t>
      </is>
    </nc>
  </rcc>
  <rcc rId="139752" sId="1">
    <oc r="C14" t="inlineStr">
      <is>
        <t>JBU 2895/2896</t>
      </is>
    </oc>
    <nc r="C14" t="inlineStr">
      <is>
        <t>FFT 66/67</t>
      </is>
    </nc>
  </rcc>
  <rcc rId="139753" sId="1" numFmtId="23">
    <oc r="D14">
      <v>46164.443055555559</v>
    </oc>
    <nc r="D14">
      <v>46167.440972222219</v>
    </nc>
  </rcc>
  <rcc rId="139754" sId="1" numFmtId="23">
    <oc r="E14">
      <v>46164.484722222223</v>
    </oc>
    <nc r="E14">
      <v>46167.489583333336</v>
    </nc>
  </rcc>
  <rcc rId="139755" sId="1">
    <oc r="F14" t="inlineStr">
      <is>
        <t>BOS-PUJ-BOS</t>
      </is>
    </oc>
    <nc r="F14" t="inlineStr">
      <is>
        <t>MIA-PUJ-MIA</t>
      </is>
    </nc>
  </rcc>
  <rcc rId="139756" sId="1">
    <oc r="B15" t="inlineStr">
      <is>
        <t>COPA AIRLINES</t>
      </is>
    </oc>
    <nc r="B15" t="inlineStr">
      <is>
        <t>FRONTIER AIRLINES</t>
      </is>
    </nc>
  </rcc>
  <rcc rId="139757" sId="1">
    <oc r="C15" t="inlineStr">
      <is>
        <t>CMP 177/178</t>
      </is>
    </oc>
    <nc r="C15" t="inlineStr">
      <is>
        <t>FFT 239/7</t>
      </is>
    </nc>
  </rcc>
  <rcc rId="139758" sId="1" numFmtId="23">
    <oc r="D15">
      <v>46164.443749999999</v>
    </oc>
    <nc r="D15">
      <v>46167.440972222219</v>
    </nc>
  </rcc>
  <rcc rId="139759" sId="1" numFmtId="23">
    <oc r="E15">
      <v>46164.488888888889</v>
    </oc>
    <nc r="E15">
      <v>46167.493055555555</v>
    </nc>
  </rcc>
  <rcc rId="139760" sId="1">
    <oc r="F15" t="inlineStr">
      <is>
        <t>PTY-PUJ-PTY</t>
      </is>
    </oc>
    <nc r="F15" t="inlineStr">
      <is>
        <t>SJU-PUJ-STL</t>
      </is>
    </nc>
  </rcc>
  <rcc rId="139761" sId="1">
    <oc r="B16" t="inlineStr">
      <is>
        <t>AMERICAN AIRLINES</t>
      </is>
    </oc>
    <nc r="B16" t="inlineStr">
      <is>
        <t>JETBLUE AIRWAYS</t>
      </is>
    </nc>
  </rcc>
  <rcc rId="139762" sId="1">
    <oc r="C16" t="inlineStr">
      <is>
        <t>AAL 1280/980</t>
      </is>
    </oc>
    <nc r="C16" t="inlineStr">
      <is>
        <t>JBU 2895/2896</t>
      </is>
    </nc>
  </rcc>
  <rcc rId="139763" sId="1" numFmtId="23">
    <oc r="D16">
      <v>46164.447222222225</v>
    </oc>
    <nc r="D16">
      <v>46167.443055555559</v>
    </nc>
  </rcc>
  <rcc rId="139764" sId="1" numFmtId="23">
    <oc r="E16">
      <v>46164.488888888889</v>
    </oc>
    <nc r="E16">
      <v>46167.484722222223</v>
    </nc>
  </rcc>
  <rcc rId="139765" sId="1">
    <oc r="F16" t="inlineStr">
      <is>
        <t>CLT-PUJ-CLT</t>
      </is>
    </oc>
    <nc r="F16" t="inlineStr">
      <is>
        <t>BOS-PUJ-BOS</t>
      </is>
    </nc>
  </rcc>
  <rcc rId="139766" sId="1">
    <oc r="B17" t="inlineStr">
      <is>
        <t>AMERICAN AIRLINES</t>
      </is>
    </oc>
    <nc r="B17" t="inlineStr">
      <is>
        <t>COPA AIRLINES</t>
      </is>
    </nc>
  </rcc>
  <rcc rId="139767" sId="1">
    <oc r="C17" t="inlineStr">
      <is>
        <t>AAL 1485/1161</t>
      </is>
    </oc>
    <nc r="C17" t="inlineStr">
      <is>
        <t>CMP 177/178</t>
      </is>
    </nc>
  </rcc>
  <rcc rId="139768" sId="1" numFmtId="23">
    <oc r="D17">
      <v>46164.451388888891</v>
    </oc>
    <nc r="D17">
      <v>46167.443749999999</v>
    </nc>
  </rcc>
  <rcc rId="139769" sId="1" numFmtId="23">
    <oc r="E17">
      <v>46164.493055555555</v>
    </oc>
    <nc r="E17">
      <v>46167.488888888889</v>
    </nc>
  </rcc>
  <rcc rId="139770" sId="1">
    <oc r="F17" t="inlineStr">
      <is>
        <t>JFK-PUJ-JFK</t>
      </is>
    </oc>
    <nc r="F17" t="inlineStr">
      <is>
        <t>PTY-PUJ-PTY</t>
      </is>
    </nc>
  </rcc>
  <rcc rId="139771" sId="1">
    <oc r="B18" t="inlineStr">
      <is>
        <t>JETBLUE AIRWAYS</t>
      </is>
    </oc>
    <nc r="B18" t="inlineStr">
      <is>
        <t>AMERICAN AIRLINES</t>
      </is>
    </nc>
  </rcc>
  <rcc rId="139772" sId="1">
    <oc r="C18" t="inlineStr">
      <is>
        <t>JBU 989/1008</t>
      </is>
    </oc>
    <nc r="C18" t="inlineStr">
      <is>
        <t>AAL 1280/980</t>
      </is>
    </nc>
  </rcc>
  <rcc rId="139773" sId="1" numFmtId="23">
    <oc r="D18">
      <v>46164.453472222223</v>
    </oc>
    <nc r="D18">
      <v>46167.447222222225</v>
    </nc>
  </rcc>
  <rcc rId="139774" sId="1" numFmtId="23">
    <oc r="E18">
      <v>46164.506249999999</v>
    </oc>
    <nc r="E18">
      <v>46167.488888888889</v>
    </nc>
  </rcc>
  <rcc rId="139775" sId="1">
    <oc r="F18" t="inlineStr">
      <is>
        <t>JFK-PUJ-JFK</t>
      </is>
    </oc>
    <nc r="F18" t="inlineStr">
      <is>
        <t>CLT-PUJ-CLT</t>
      </is>
    </nc>
  </rcc>
  <rcc rId="139776" sId="1">
    <oc r="C19" t="inlineStr">
      <is>
        <t>AAL 2641/2641</t>
      </is>
    </oc>
    <nc r="C19" t="inlineStr">
      <is>
        <t>AAL 1485/1161</t>
      </is>
    </nc>
  </rcc>
  <rcc rId="139777" sId="1" numFmtId="23">
    <oc r="D19">
      <v>46164.454861111109</v>
    </oc>
    <nc r="D19">
      <v>46167.451388888891</v>
    </nc>
  </rcc>
  <rcc rId="139778" sId="1" numFmtId="23">
    <oc r="E19">
      <v>46164.49722222222</v>
    </oc>
    <nc r="E19">
      <v>46167.493055555555</v>
    </nc>
  </rcc>
  <rcc rId="139779" sId="1">
    <oc r="F19" t="inlineStr">
      <is>
        <t>PHL-PUJ-PHL</t>
      </is>
    </oc>
    <nc r="F19" t="inlineStr">
      <is>
        <t>JFK-PUJ-JFK</t>
      </is>
    </nc>
  </rcc>
  <rcc rId="139780" sId="1">
    <oc r="B20" t="inlineStr">
      <is>
        <t>FRONTIER AIRLINES</t>
      </is>
    </oc>
    <nc r="B20" t="inlineStr">
      <is>
        <t>JETBLUE AIRWAYS</t>
      </is>
    </nc>
  </rcc>
  <rcc rId="139781" sId="1">
    <oc r="C20" t="inlineStr">
      <is>
        <t>FFT 22/23</t>
      </is>
    </oc>
    <nc r="C20" t="inlineStr">
      <is>
        <t>JBU 989/1008</t>
      </is>
    </nc>
  </rcc>
  <rcc rId="139782" sId="1" numFmtId="23">
    <oc r="D20">
      <v>46164.456250000003</v>
    </oc>
    <nc r="D20">
      <v>46167.453472222223</v>
    </nc>
  </rcc>
  <rcc rId="139783" sId="1" numFmtId="23">
    <oc r="E20">
      <v>46164.504861111112</v>
    </oc>
    <nc r="E20">
      <v>46167.506249999999</v>
    </nc>
  </rcc>
  <rcc rId="139784" sId="1">
    <oc r="F20" t="inlineStr">
      <is>
        <t>PHL-PUJ-PHL</t>
      </is>
    </oc>
    <nc r="F20" t="inlineStr">
      <is>
        <t>JFK-PUJ-JFK</t>
      </is>
    </nc>
  </rcc>
  <rcc rId="139785" sId="1">
    <oc r="B21" t="inlineStr">
      <is>
        <t>COPA AIRLINES</t>
      </is>
    </oc>
    <nc r="B21" t="inlineStr">
      <is>
        <t>AMERICAN AIRLINES</t>
      </is>
    </nc>
  </rcc>
  <rcc rId="139786" sId="1">
    <oc r="C21" t="inlineStr">
      <is>
        <t>CMP 110/109</t>
      </is>
    </oc>
    <nc r="C21" t="inlineStr">
      <is>
        <t>AAL 2641/2641</t>
      </is>
    </nc>
  </rcc>
  <rcc rId="139787" sId="1" numFmtId="23">
    <oc r="D21">
      <v>46164.457638888889</v>
    </oc>
    <nc r="D21">
      <v>46167.454861111109</v>
    </nc>
  </rcc>
  <rcc rId="139788" sId="1" numFmtId="23">
    <oc r="E21">
      <v>46164.503472222219</v>
    </oc>
    <nc r="E21">
      <v>46167.49722222222</v>
    </nc>
  </rcc>
  <rcc rId="139789" sId="1">
    <oc r="F21" t="inlineStr">
      <is>
        <t>PTY-PUJ-PTY</t>
      </is>
    </oc>
    <nc r="F21" t="inlineStr">
      <is>
        <t>PHL-PUJ-PHL</t>
      </is>
    </nc>
  </rcc>
  <rcc rId="139790" sId="1">
    <oc r="B22" t="inlineStr">
      <is>
        <t>ARAJET</t>
      </is>
    </oc>
    <nc r="B22" t="inlineStr">
      <is>
        <t>FRONTIER AIRLINES</t>
      </is>
    </nc>
  </rcc>
  <rcc rId="139791" sId="1">
    <oc r="C22" t="inlineStr">
      <is>
        <t>DWI 5863/6020</t>
      </is>
    </oc>
    <nc r="C22" t="inlineStr">
      <is>
        <t>FFT 22/23</t>
      </is>
    </nc>
  </rcc>
  <rcc rId="139792" sId="1" numFmtId="23">
    <oc r="D22">
      <v>46164.458333333336</v>
    </oc>
    <nc r="D22">
      <v>46167.456250000003</v>
    </nc>
  </rcc>
  <rcc rId="139793" sId="1" numFmtId="23">
    <oc r="E22">
      <v>46164.597222222219</v>
    </oc>
    <nc r="E22">
      <v>46167.504861111112</v>
    </nc>
  </rcc>
  <rcc rId="139794" sId="1">
    <oc r="F22" t="inlineStr">
      <is>
        <t>YYZ-PUJ-GRU</t>
      </is>
    </oc>
    <nc r="F22" t="inlineStr">
      <is>
        <t>PHL-PUJ-PHL</t>
      </is>
    </nc>
  </rcc>
  <rcc rId="139795" sId="1">
    <oc r="B23" t="inlineStr">
      <is>
        <t>AMERICAN AIRLINES</t>
      </is>
    </oc>
    <nc r="B23" t="inlineStr">
      <is>
        <t>COPA AIRLINES</t>
      </is>
    </nc>
  </rcc>
  <rcc rId="139796" sId="1">
    <oc r="C23" t="inlineStr">
      <is>
        <t>AAL 1270/1270</t>
      </is>
    </oc>
    <nc r="C23" t="inlineStr">
      <is>
        <t>CMP 110/109</t>
      </is>
    </nc>
  </rcc>
  <rcc rId="139797" sId="1" numFmtId="23">
    <oc r="D23">
      <v>46164.461111111108</v>
    </oc>
    <nc r="D23">
      <v>46167.457638888889</v>
    </nc>
  </rcc>
  <rcc rId="139798" sId="1" numFmtId="23">
    <oc r="E23">
      <v>46164.50277777778</v>
    </oc>
    <nc r="E23">
      <v>46167.503472222219</v>
    </nc>
  </rcc>
  <rcc rId="139799" sId="1">
    <oc r="F23" t="inlineStr">
      <is>
        <t>MIA-PUJ-MIA</t>
      </is>
    </oc>
    <nc r="F23" t="inlineStr">
      <is>
        <t>PTY-PUJ-PTY</t>
      </is>
    </nc>
  </rcc>
  <rcc rId="139800" sId="1">
    <oc r="B24" t="inlineStr">
      <is>
        <t>ARAJET</t>
      </is>
    </oc>
    <nc r="B24" t="inlineStr">
      <is>
        <t>AMERICAN AIRLINES</t>
      </is>
    </nc>
  </rcc>
  <rcc rId="139801" sId="1">
    <oc r="C24" t="inlineStr">
      <is>
        <t>DWI 6269/6114</t>
      </is>
    </oc>
    <nc r="C24" t="inlineStr">
      <is>
        <t>AAL 1270/1270</t>
      </is>
    </nc>
  </rcc>
  <rcc rId="139802" sId="1" numFmtId="23">
    <oc r="D24">
      <v>46164.465277777781</v>
    </oc>
    <nc r="D24">
      <v>46167.461111111108</v>
    </nc>
  </rcc>
  <rcc rId="139803" sId="1" numFmtId="23">
    <oc r="E24">
      <v>46164.624305555553</v>
    </oc>
    <nc r="E24">
      <v>46167.50277777778</v>
    </nc>
  </rcc>
  <rcc rId="139804" sId="1">
    <oc r="F24" t="inlineStr">
      <is>
        <t>EZE-PUJ-SCL</t>
      </is>
    </oc>
    <nc r="F24" t="inlineStr">
      <is>
        <t>MIA-PUJ-MIA</t>
      </is>
    </nc>
  </rcc>
  <rcc rId="139805" sId="1">
    <oc r="C25" t="inlineStr">
      <is>
        <t>DWI 6173/7002</t>
      </is>
    </oc>
    <nc r="C25" t="inlineStr">
      <is>
        <t>DWI 5421/1134</t>
      </is>
    </nc>
  </rcc>
  <rcc rId="139806" sId="1" numFmtId="23">
    <oc r="D25">
      <v>46164.475694444445</v>
    </oc>
    <nc r="D25">
      <v>46167.461805555555</v>
    </nc>
  </rcc>
  <rcc rId="139807" sId="1" numFmtId="23">
    <oc r="E25">
      <v>46164.567361111112</v>
    </oc>
    <nc r="E25">
      <v>46167.486111111109</v>
    </nc>
  </rcc>
  <rcc rId="139808" sId="1">
    <oc r="F25" t="inlineStr">
      <is>
        <t>SCL-PUJ-CUN</t>
      </is>
    </oc>
    <nc r="F25" t="inlineStr">
      <is>
        <t>ORD-PUJ-SDQ</t>
      </is>
    </nc>
  </rcc>
  <rcc rId="139809" sId="1" numFmtId="23">
    <oc r="D26">
      <v>46164.475694444445</v>
    </oc>
    <nc r="D26">
      <v>46167.475694444445</v>
    </nc>
  </rcc>
  <rcc rId="139810" sId="1" numFmtId="23">
    <oc r="E26">
      <v>46164.534722222219</v>
    </oc>
    <nc r="E26">
      <v>46167.534722222219</v>
    </nc>
  </rcc>
  <rcc rId="139811" sId="1">
    <oc r="C27" t="inlineStr">
      <is>
        <t>DWI 6463/5220</t>
      </is>
    </oc>
    <nc r="C27" t="inlineStr">
      <is>
        <t>DWI 6089/7100</t>
      </is>
    </nc>
  </rcc>
  <rcc rId="139812" sId="1" numFmtId="23">
    <oc r="D27">
      <v>46164.481249999997</v>
    </oc>
    <nc r="D27">
      <v>46167.475694444445</v>
    </nc>
  </rcc>
  <rcc rId="139813" sId="1" numFmtId="23">
    <oc r="E27">
      <v>46164.548611111109</v>
    </oc>
    <nc r="E27">
      <v>46167.53402777778</v>
    </nc>
  </rcc>
  <rcc rId="139814" sId="1">
    <oc r="F27" t="inlineStr">
      <is>
        <t>COR-PUJ-SFB</t>
      </is>
    </oc>
    <nc r="F27" t="inlineStr">
      <is>
        <t>GRU-PUJ-NLU</t>
      </is>
    </nc>
  </rcc>
  <rcc rId="139815" sId="1">
    <oc r="B28" t="inlineStr">
      <is>
        <t>DELTA AIRLINES</t>
      </is>
    </oc>
    <nc r="B28" t="inlineStr">
      <is>
        <t>RUTACA AIRLINES</t>
      </is>
    </nc>
  </rcc>
  <rcc rId="139816" sId="1">
    <oc r="C28" t="inlineStr">
      <is>
        <t>DAL 1760/1755</t>
      </is>
    </oc>
    <nc r="C28" t="inlineStr">
      <is>
        <t>RUC 2232/2232</t>
      </is>
    </nc>
  </rcc>
  <rcc rId="139817" sId="1" numFmtId="23">
    <oc r="D28">
      <v>46164.486111111109</v>
    </oc>
    <nc r="D28">
      <v>46167.479166666664</v>
    </nc>
  </rcc>
  <rcc rId="139818" sId="1" numFmtId="23">
    <oc r="E28">
      <v>46164.545138888891</v>
    </oc>
    <nc r="E28">
      <v>46167.520833333336</v>
    </nc>
  </rcc>
  <rcc rId="139819" sId="1">
    <oc r="F28" t="inlineStr">
      <is>
        <t>ATL-PUJ-ATL</t>
      </is>
    </oc>
    <nc r="F28" t="inlineStr">
      <is>
        <t>VLN-PUJ-HAV</t>
      </is>
    </nc>
  </rcc>
  <rcc rId="139820" sId="1">
    <oc r="C29" t="inlineStr">
      <is>
        <t>DWI 5975/1500</t>
      </is>
    </oc>
    <nc r="C29" t="inlineStr">
      <is>
        <t>DWI 5975/6770</t>
      </is>
    </nc>
  </rcc>
  <rcc rId="139821" sId="1" numFmtId="23">
    <oc r="D29">
      <v>46164.486111111109</v>
    </oc>
    <nc r="D29">
      <v>46167.486111111109</v>
    </nc>
  </rcc>
  <rcc rId="139822" sId="1" numFmtId="23">
    <oc r="E29">
      <v>46164.576388888891</v>
    </oc>
    <nc r="E29">
      <v>46167.82708333333</v>
    </nc>
  </rcc>
  <rcc rId="139823" sId="1">
    <oc r="F29" t="inlineStr">
      <is>
        <t>YUL-PUJ-BOG</t>
      </is>
    </oc>
    <nc r="F29" t="inlineStr">
      <is>
        <t>YUL-PUJ-LIM</t>
      </is>
    </nc>
  </rcc>
  <rcc rId="139824" sId="1">
    <oc r="B30" t="inlineStr">
      <is>
        <t>JETSMART</t>
      </is>
    </oc>
    <nc r="B30" t="inlineStr">
      <is>
        <t>DELTA AIRLINES</t>
      </is>
    </nc>
  </rcc>
  <rcc rId="139825" sId="1">
    <oc r="C30" t="inlineStr">
      <is>
        <t>JEC 5830/5835</t>
      </is>
    </oc>
    <nc r="C30" t="inlineStr">
      <is>
        <t>DAL 1760/1755</t>
      </is>
    </nc>
  </rcc>
  <rcc rId="139826" sId="1" numFmtId="23">
    <oc r="D30">
      <v>46164.486111111109</v>
    </oc>
    <nc r="D30">
      <v>46167.486111111109</v>
    </nc>
  </rcc>
  <rcc rId="139827" sId="1" numFmtId="23">
    <oc r="E30">
      <v>46164.520833333336</v>
    </oc>
    <nc r="E30">
      <v>46167.545138888891</v>
    </nc>
  </rcc>
  <rcc rId="139828" sId="1">
    <oc r="F30" t="inlineStr">
      <is>
        <t>MDE-PUJ-CLO</t>
      </is>
    </oc>
    <nc r="F30" t="inlineStr">
      <is>
        <t>ATL-PUJ-ATL</t>
      </is>
    </nc>
  </rcc>
  <rcc rId="139829" sId="1" numFmtId="23">
    <oc r="D31">
      <v>46164.489583333336</v>
    </oc>
    <nc r="D31">
      <v>46167.489583333336</v>
    </nc>
  </rcc>
  <rcc rId="139830" sId="1" numFmtId="23">
    <oc r="E31">
      <v>46164.53402777778</v>
    </oc>
    <nc r="E31">
      <v>46167.53402777778</v>
    </nc>
  </rcc>
  <rcc rId="139831" sId="1" numFmtId="23">
    <oc r="D32">
      <v>46164.493055555555</v>
    </oc>
    <nc r="D32">
      <v>46167.493055555555</v>
    </nc>
  </rcc>
  <rcc rId="139832" sId="1" numFmtId="23">
    <oc r="E32">
      <v>46164.541666666664</v>
    </oc>
    <nc r="E32">
      <v>46167.541666666664</v>
    </nc>
  </rcc>
  <rcc rId="139833" sId="1">
    <oc r="B33" t="inlineStr">
      <is>
        <t>ARAJET</t>
      </is>
    </oc>
    <nc r="B33" t="inlineStr">
      <is>
        <t>AIR CANADA</t>
      </is>
    </nc>
  </rcc>
  <rcc rId="139834" sId="1">
    <oc r="C33" t="inlineStr">
      <is>
        <t>DWI 6261/1002</t>
      </is>
    </oc>
    <nc r="C33" t="inlineStr">
      <is>
        <t>ACA 1796/1797</t>
      </is>
    </nc>
  </rcc>
  <rcc rId="139835" sId="1" numFmtId="23">
    <oc r="D33">
      <v>46164.496527777781</v>
    </oc>
    <nc r="D33">
      <v>46167.496527777781</v>
    </nc>
  </rcc>
  <rcc rId="139836" sId="1" numFmtId="23">
    <oc r="E33">
      <v>46164.635416666664</v>
    </oc>
    <nc r="E33">
      <v>46167.538194444445</v>
    </nc>
  </rcc>
  <rcc rId="139837" sId="1">
    <oc r="F33" t="inlineStr">
      <is>
        <t>EZE-PUJ-SJU</t>
      </is>
    </oc>
    <nc r="F33" t="inlineStr">
      <is>
        <t>YYZ-PUJ-YYZ</t>
      </is>
    </nc>
  </rcc>
  <rcc rId="139838" sId="1">
    <oc r="B34" t="inlineStr">
      <is>
        <t>JETBLUE AIRWAYS</t>
      </is>
    </oc>
    <nc r="B34" t="inlineStr">
      <is>
        <t>ARAJET</t>
      </is>
    </nc>
  </rcc>
  <rcc rId="139839" sId="1">
    <oc r="C34" t="inlineStr">
      <is>
        <t>JBU 169/168</t>
      </is>
    </oc>
    <nc r="C34" t="inlineStr">
      <is>
        <t>DWI 6261/6426</t>
      </is>
    </nc>
  </rcc>
  <rcc rId="139840" sId="1" numFmtId="23">
    <oc r="D34">
      <v>46164.504166666666</v>
    </oc>
    <nc r="D34">
      <v>46167.496527777781</v>
    </nc>
  </rcc>
  <rcc rId="139841" sId="1" numFmtId="23">
    <oc r="E34">
      <v>46164.559027777781</v>
    </oc>
    <nc r="E34">
      <v>46167.574999999997</v>
    </nc>
  </rcc>
  <rcc rId="139842" sId="1">
    <oc r="F34" t="inlineStr">
      <is>
        <t>JFK-PUJ-JFK</t>
      </is>
    </oc>
    <nc r="F34" t="inlineStr">
      <is>
        <t>EZE-PUJ-COR</t>
      </is>
    </nc>
  </rcc>
  <rcc rId="139843" sId="1">
    <oc r="B35" t="inlineStr">
      <is>
        <t>LAN CHILE</t>
      </is>
    </oc>
    <nc r="B35" t="inlineStr">
      <is>
        <t>JETBLUE AIRWAYS</t>
      </is>
    </nc>
  </rcc>
  <rcc rId="139844" sId="1">
    <oc r="C35" t="inlineStr">
      <is>
        <t>LAN 591/591</t>
      </is>
    </oc>
    <nc r="C35" t="inlineStr">
      <is>
        <t>JBU 169/168</t>
      </is>
    </nc>
  </rcc>
  <rcc rId="139845" sId="1" numFmtId="23">
    <oc r="D35">
      <v>46164.506944444445</v>
    </oc>
    <nc r="D35">
      <v>46167.503472222219</v>
    </nc>
  </rcc>
  <rcc rId="139846" sId="1" numFmtId="23">
    <oc r="E35">
      <v>46164.569444444445</v>
    </oc>
    <nc r="E35">
      <v>46167.559027777781</v>
    </nc>
  </rcc>
  <rcc rId="139847" sId="1">
    <oc r="F35" t="inlineStr">
      <is>
        <t>MIA-PUJ-SCL</t>
      </is>
    </oc>
    <nc r="F35" t="inlineStr">
      <is>
        <t>JFK-PUJ-JFK</t>
      </is>
    </nc>
  </rcc>
  <rcc rId="139848" sId="1" numFmtId="23">
    <oc r="D36">
      <v>46164.508333333331</v>
    </oc>
    <nc r="D36">
      <v>46167.508333333331</v>
    </nc>
  </rcc>
  <rcc rId="139849" sId="1" numFmtId="23">
    <oc r="E36">
      <v>46164.553472222222</v>
    </oc>
    <nc r="E36">
      <v>46167.553472222222</v>
    </nc>
  </rcc>
  <rcc rId="139850" sId="1" numFmtId="23">
    <oc r="D37">
      <v>46164.510416666664</v>
    </oc>
    <nc r="D37">
      <v>46167.510416666664</v>
    </nc>
  </rcc>
  <rcc rId="139851" sId="1" numFmtId="23">
    <oc r="E37">
      <v>46164.559027777781</v>
    </oc>
    <nc r="E37">
      <v>46167.559027777781</v>
    </nc>
  </rcc>
  <rcc rId="139852" sId="1">
    <oc r="B38" t="inlineStr">
      <is>
        <t>DELTA AIRLINES</t>
      </is>
    </oc>
    <nc r="B38" t="inlineStr">
      <is>
        <t>COPA AIRLINES</t>
      </is>
    </nc>
  </rcc>
  <rcc rId="139853" sId="1">
    <oc r="C38" t="inlineStr">
      <is>
        <t>DAL 1994/1833</t>
      </is>
    </oc>
    <nc r="C38" t="inlineStr">
      <is>
        <t>CMP 321/327</t>
      </is>
    </nc>
  </rcc>
  <rcc rId="139854" sId="1" numFmtId="23">
    <oc r="D38">
      <v>46164.515972222223</v>
    </oc>
    <nc r="D38">
      <v>46167.513194444444</v>
    </nc>
  </rcc>
  <rcc rId="139855" sId="1" numFmtId="23">
    <oc r="E38">
      <v>46164.574999999997</v>
    </oc>
    <nc r="E38">
      <v>46167.5625</v>
    </nc>
  </rcc>
  <rcc rId="139856" sId="1">
    <oc r="F38" t="inlineStr">
      <is>
        <t>JFK-PUJ-JFK</t>
      </is>
    </oc>
    <nc r="F38" t="inlineStr">
      <is>
        <t>PTY-PUJ-PTY</t>
      </is>
    </nc>
  </rcc>
  <rcc rId="139857" sId="1">
    <oc r="B39" t="inlineStr">
      <is>
        <t>JETBLUE AIRWAYS</t>
      </is>
    </oc>
    <nc r="B39" t="inlineStr">
      <is>
        <t>DELTA AIRLINES</t>
      </is>
    </nc>
  </rcc>
  <rcc rId="139858" sId="1">
    <oc r="C39" t="inlineStr">
      <is>
        <t>JBU 1731/1632</t>
      </is>
    </oc>
    <nc r="C39" t="inlineStr">
      <is>
        <t>DAL 1994/1833</t>
      </is>
    </nc>
  </rcc>
  <rcc rId="139859" sId="1" numFmtId="23">
    <oc r="D39">
      <v>46164.520138888889</v>
    </oc>
    <nc r="D39">
      <v>46167.515972222223</v>
    </nc>
  </rcc>
  <rcc rId="139860" sId="1" numFmtId="23">
    <oc r="E39">
      <v>46164.56527777778</v>
    </oc>
    <nc r="E39">
      <v>46167.574999999997</v>
    </nc>
  </rcc>
  <rcc rId="139861" sId="1">
    <oc r="F39" t="inlineStr">
      <is>
        <t>SJU-PUJ-SJU</t>
      </is>
    </oc>
    <nc r="F39" t="inlineStr">
      <is>
        <t>JFK-PUJ-JFK</t>
      </is>
    </nc>
  </rcc>
  <rcc rId="139862" sId="1">
    <oc r="B40" t="inlineStr">
      <is>
        <t>WESTJET AIRLINES</t>
      </is>
    </oc>
    <nc r="B40" t="inlineStr">
      <is>
        <t>JETBLUE AIRWAYS</t>
      </is>
    </nc>
  </rcc>
  <rcc rId="139863" sId="1">
    <oc r="C40" t="inlineStr">
      <is>
        <t>WJA 2110/2703</t>
      </is>
    </oc>
    <nc r="C40" t="inlineStr">
      <is>
        <t>JBU 1731/1632</t>
      </is>
    </nc>
  </rcc>
  <rcc rId="139864" sId="1" numFmtId="23">
    <oc r="D40">
      <v>46164.524305555555</v>
    </oc>
    <nc r="D40">
      <v>46167.520138888889</v>
    </nc>
  </rcc>
  <rcc rId="139865" sId="1" numFmtId="23">
    <oc r="E40">
      <v>46164.565972222219</v>
    </oc>
    <nc r="E40">
      <v>46167.56527777778</v>
    </nc>
  </rcc>
  <rcc rId="139866" sId="1">
    <oc r="F40" t="inlineStr">
      <is>
        <t>YYZ-PUJ-YYZ</t>
      </is>
    </oc>
    <nc r="F40" t="inlineStr">
      <is>
        <t>SJU-PUJ-SJU</t>
      </is>
    </nc>
  </rcc>
  <rcc rId="139867" sId="1" numFmtId="23">
    <oc r="D41">
      <v>46164.527777777781</v>
    </oc>
    <nc r="D41">
      <v>46167.527777777781</v>
    </nc>
  </rcc>
  <rcc rId="139868" sId="1" numFmtId="23">
    <oc r="E41">
      <v>46164.569444444445</v>
    </oc>
    <nc r="E41">
      <v>46167.569444444445</v>
    </nc>
  </rcc>
  <rcc rId="139869" sId="1">
    <oc r="B42" t="inlineStr">
      <is>
        <t>WESTJET AIRLINES</t>
      </is>
    </oc>
    <nc r="B42" t="inlineStr">
      <is>
        <t>UNITED AIRLINES</t>
      </is>
    </nc>
  </rcc>
  <rcc rId="139870" sId="1">
    <oc r="C42" t="inlineStr">
      <is>
        <t>WJA 2902/2903</t>
      </is>
    </oc>
    <nc r="C42" t="inlineStr">
      <is>
        <t>UAL 1661/1664</t>
      </is>
    </nc>
  </rcc>
  <rcc rId="139871" sId="1" numFmtId="23">
    <oc r="D42">
      <v>46164.527777777781</v>
    </oc>
    <nc r="D42">
      <v>46167.527777777781</v>
    </nc>
  </rcc>
  <rcc rId="139872" sId="1" numFmtId="23">
    <oc r="E42">
      <v>46164.565972222219</v>
    </oc>
    <nc r="E42">
      <v>46167.576388888891</v>
    </nc>
  </rcc>
  <rcc rId="139873" sId="1">
    <oc r="F42" t="inlineStr">
      <is>
        <t>YUL-PUJ-YUL</t>
      </is>
    </oc>
    <nc r="F42" t="inlineStr">
      <is>
        <t>IAD-PUJ-ORD</t>
      </is>
    </nc>
  </rcc>
  <rcc rId="139874" sId="1">
    <oc r="B43" t="inlineStr">
      <is>
        <t>UNITED AIRLINES</t>
      </is>
    </oc>
    <nc r="B43" t="inlineStr">
      <is>
        <t>WESTJET AIRLINES</t>
      </is>
    </nc>
  </rcc>
  <rcc rId="139875" sId="1">
    <oc r="C43" t="inlineStr">
      <is>
        <t>UAL 1661/1664</t>
      </is>
    </oc>
    <nc r="C43" t="inlineStr">
      <is>
        <t>WJA 2902/2903</t>
      </is>
    </nc>
  </rcc>
  <rcc rId="139876" sId="1" numFmtId="23">
    <oc r="D43">
      <v>46164.527777777781</v>
    </oc>
    <nc r="D43">
      <v>46167.527777777781</v>
    </nc>
  </rcc>
  <rcc rId="139877" sId="1" numFmtId="23">
    <oc r="E43">
      <v>46164.576388888891</v>
    </oc>
    <nc r="E43">
      <v>46167.565972222219</v>
    </nc>
  </rcc>
  <rcc rId="139878" sId="1">
    <oc r="F43" t="inlineStr">
      <is>
        <t>IAD-PUJ-ORD</t>
      </is>
    </oc>
    <nc r="F43" t="inlineStr">
      <is>
        <t>YUL-PUJ-YUL</t>
      </is>
    </nc>
  </rcc>
  <rcc rId="139879" sId="1" numFmtId="23">
    <oc r="D44">
      <v>46164.530555555553</v>
    </oc>
    <nc r="D44">
      <v>46167.530555555553</v>
    </nc>
  </rcc>
  <rcc rId="139880" sId="1" numFmtId="23">
    <oc r="E44">
      <v>46164.57916666667</v>
    </oc>
    <nc r="E44">
      <v>46167.57916666667</v>
    </nc>
  </rcc>
  <rcc rId="139881" sId="1" numFmtId="23">
    <oc r="D45">
      <v>46164.533333333333</v>
    </oc>
    <nc r="D45">
      <v>46167.533333333333</v>
    </nc>
  </rcc>
  <rcc rId="139882" sId="1" numFmtId="23">
    <oc r="E45">
      <v>46164.578472222223</v>
    </oc>
    <nc r="E45">
      <v>46167.578472222223</v>
    </nc>
  </rcc>
  <rcc rId="139883" sId="1" numFmtId="23">
    <oc r="D46">
      <v>46164.536111111112</v>
    </oc>
    <nc r="D46">
      <v>46167.536111111112</v>
    </nc>
  </rcc>
  <rcc rId="139884" sId="1" numFmtId="23">
    <oc r="E46">
      <v>46164.577777777777</v>
    </oc>
    <nc r="E46">
      <v>46167.577777777777</v>
    </nc>
  </rcc>
  <rcc rId="139885" sId="1">
    <oc r="B47" t="inlineStr">
      <is>
        <t>WINGO</t>
      </is>
    </oc>
    <nc r="B47" t="inlineStr">
      <is>
        <t>ARAJET</t>
      </is>
    </nc>
  </rcc>
  <rcc rId="139886" sId="1">
    <oc r="C47" t="inlineStr">
      <is>
        <t>RPB 7026/7027</t>
      </is>
    </oc>
    <nc r="C47" t="inlineStr">
      <is>
        <t>DWI 6361/6020</t>
      </is>
    </nc>
  </rcc>
  <rcc rId="139887" sId="1" numFmtId="23">
    <oc r="D47">
      <v>46164.538194444445</v>
    </oc>
    <nc r="D47">
      <v>46167.538194444445</v>
    </nc>
  </rcc>
  <rcc rId="139888" sId="1" numFmtId="23">
    <oc r="E47">
      <v>46164.570833333331</v>
    </oc>
    <nc r="E47">
      <v>46167.59375</v>
    </nc>
  </rcc>
  <rcc rId="139889" sId="1">
    <oc r="F47" t="inlineStr">
      <is>
        <t>BOG-PUJ-BOG</t>
      </is>
    </oc>
    <nc r="F47" t="inlineStr">
      <is>
        <t>MDZ-PUJ-GRU</t>
      </is>
    </nc>
  </rcc>
  <rcc rId="139890" sId="1">
    <oc r="B48" t="inlineStr">
      <is>
        <t>SOUTHWEST AIRLINES</t>
      </is>
    </oc>
    <nc r="B48" t="inlineStr">
      <is>
        <t>FRONTIER AIRLINES</t>
      </is>
    </nc>
  </rcc>
  <rcc rId="139891" sId="1">
    <oc r="C48" t="inlineStr">
      <is>
        <t>SWA 782/783</t>
      </is>
    </oc>
    <nc r="C48" t="inlineStr">
      <is>
        <t>FFT 9022/24</t>
      </is>
    </nc>
  </rcc>
  <rcc rId="139892" sId="1" numFmtId="23">
    <oc r="D48">
      <v>46164.545138888891</v>
    </oc>
    <nc r="D48">
      <v>46167.538888888892</v>
    </nc>
  </rcc>
  <rcc rId="139893" sId="1" numFmtId="23">
    <oc r="E48">
      <v>46164.586805555555</v>
    </oc>
    <nc r="E48">
      <v>46167.594444444447</v>
    </nc>
  </rcc>
  <rcc rId="139894" sId="1">
    <oc r="F48" t="inlineStr">
      <is>
        <t>MCO-PUJ-MCO</t>
      </is>
    </oc>
    <nc r="F48" t="inlineStr">
      <is>
        <t>MSY-PUJ-ATL</t>
      </is>
    </nc>
  </rcc>
  <rcc rId="139895" sId="1">
    <oc r="B49" t="inlineStr">
      <is>
        <t>AIR TRANSAT</t>
      </is>
    </oc>
    <nc r="B49" t="inlineStr">
      <is>
        <t>JETSMART</t>
      </is>
    </nc>
  </rcc>
  <rcc rId="139896" sId="1">
    <oc r="C49" t="inlineStr">
      <is>
        <t>TSC 186/187</t>
      </is>
    </oc>
    <nc r="C49" t="inlineStr">
      <is>
        <t>JEC 5834/5831</t>
      </is>
    </nc>
  </rcc>
  <rcc rId="139897" sId="1" numFmtId="23">
    <oc r="D49">
      <v>46164.559027777781</v>
    </oc>
    <nc r="D49">
      <v>46167.541666666664</v>
    </nc>
  </rcc>
  <rcc rId="139898" sId="1" numFmtId="23">
    <oc r="E49">
      <v>46164.614583333336</v>
    </oc>
    <nc r="E49">
      <v>46167.576388888891</v>
    </nc>
  </rcc>
  <rcc rId="139899" sId="1">
    <oc r="F49" t="inlineStr">
      <is>
        <t>YYZ-PUJ-YYZ</t>
      </is>
    </oc>
    <nc r="F49" t="inlineStr">
      <is>
        <t>CLO-PUJ-MDE</t>
      </is>
    </nc>
  </rcc>
  <rcc rId="139900" sId="1">
    <oc r="B50" t="inlineStr">
      <is>
        <t>DELTA AIRLINES</t>
      </is>
    </oc>
    <nc r="B50" t="inlineStr">
      <is>
        <t>GLOBAL AIR X</t>
      </is>
    </nc>
  </rcc>
  <rcc rId="139901" sId="1">
    <oc r="C50" t="inlineStr">
      <is>
        <t>DAL 1796/1919</t>
      </is>
    </oc>
    <nc r="C50" t="inlineStr">
      <is>
        <t>GXA 6203/6204</t>
      </is>
    </nc>
  </rcc>
  <rcc rId="139902" sId="1" numFmtId="23">
    <oc r="D50">
      <v>46164.559027777781</v>
    </oc>
    <nc r="D50">
      <v>46167.541666666664</v>
    </nc>
  </rcc>
  <rcc rId="139903" sId="1" numFmtId="23">
    <oc r="E50">
      <v>46164.618055555555</v>
    </oc>
    <nc r="E50">
      <v>46167.583333333336</v>
    </nc>
  </rcc>
  <rcc rId="139904" sId="1">
    <oc r="F50" t="inlineStr">
      <is>
        <t>ATL-PUJ-ATL</t>
      </is>
    </oc>
    <nc r="F50" t="inlineStr">
      <is>
        <t>SJU-PUJ-SJU</t>
      </is>
    </nc>
  </rcc>
  <rcc rId="139905" sId="1">
    <oc r="B51" t="inlineStr">
      <is>
        <t>JETBLUE AIRWAYS</t>
      </is>
    </oc>
    <nc r="B51" t="inlineStr">
      <is>
        <t>SOUTHWEST AIRLINES</t>
      </is>
    </nc>
  </rcc>
  <rcc rId="139906" sId="1">
    <oc r="C51" t="inlineStr">
      <is>
        <t>JBU 1869/1869</t>
      </is>
    </oc>
    <nc r="C51" t="inlineStr">
      <is>
        <t>SWA 782/783</t>
      </is>
    </nc>
  </rcc>
  <rcc rId="139907" sId="1" numFmtId="23">
    <oc r="D51">
      <v>46164.570833333331</v>
    </oc>
    <nc r="D51">
      <v>46167.545138888891</v>
    </nc>
  </rcc>
  <rcc rId="139908" sId="1" numFmtId="23">
    <oc r="E51">
      <v>46164.615972222222</v>
    </oc>
    <nc r="E51">
      <v>46167.586805555555</v>
    </nc>
  </rcc>
  <rcc rId="139909" sId="1">
    <oc r="F51" t="inlineStr">
      <is>
        <t>JFK-PUJ-JFK</t>
      </is>
    </oc>
    <nc r="F51" t="inlineStr">
      <is>
        <t>MCO-PUJ-MCO</t>
      </is>
    </nc>
  </rcc>
  <rcc rId="139910" sId="1">
    <oc r="B52" t="inlineStr">
      <is>
        <t>AIR TRANSAT</t>
      </is>
    </oc>
    <nc r="B52" t="inlineStr">
      <is>
        <t>ARAJET</t>
      </is>
    </nc>
  </rcc>
  <rcc rId="139911" sId="1">
    <oc r="C52" t="inlineStr">
      <is>
        <t>TSC 398/399</t>
      </is>
    </oc>
    <nc r="C52" t="inlineStr">
      <is>
        <t>DWI 6269/6206</t>
      </is>
    </nc>
  </rcc>
  <rcc rId="139912" sId="1" numFmtId="23">
    <oc r="D52">
      <v>46164.572916666664</v>
    </oc>
    <nc r="D52">
      <v>46167.548611111109</v>
    </nc>
  </rcc>
  <rcc rId="139913" sId="1" numFmtId="23">
    <oc r="E52">
      <v>46164.628472222219</v>
    </oc>
    <nc r="E52">
      <v>46167.628472222219</v>
    </nc>
  </rcc>
  <rcc rId="139914" sId="1">
    <oc r="F52" t="inlineStr">
      <is>
        <t>YUL-PUJ-YUL</t>
      </is>
    </oc>
    <nc r="F52" t="inlineStr">
      <is>
        <t>EZE-PUJ-EZE</t>
      </is>
    </nc>
  </rcc>
  <rcc rId="139915" sId="1">
    <oc r="B53" t="inlineStr">
      <is>
        <t>JETBLUE AIRWAYS</t>
      </is>
    </oc>
    <nc r="B53" t="inlineStr">
      <is>
        <t>ARAJET</t>
      </is>
    </nc>
  </rcc>
  <rcc rId="139916" sId="1">
    <oc r="C53" t="inlineStr">
      <is>
        <t>JBU 1015/2374</t>
      </is>
    </oc>
    <nc r="C53" t="inlineStr">
      <is>
        <t>DWI 6173/5100</t>
      </is>
    </nc>
  </rcc>
  <rcc rId="139917" sId="1" numFmtId="23">
    <oc r="D53">
      <v>46164.572916666664</v>
    </oc>
    <nc r="D53">
      <v>46167.552083333336</v>
    </nc>
  </rcc>
  <rcc rId="139918" sId="1" numFmtId="23">
    <oc r="E53">
      <v>46164.618055555555</v>
    </oc>
    <nc r="E53">
      <v>46167.60833333333</v>
    </nc>
  </rcc>
  <rcc rId="139919" sId="1">
    <oc r="F53" t="inlineStr">
      <is>
        <t>EWR-PUJ-FLL</t>
      </is>
    </oc>
    <nc r="F53" t="inlineStr">
      <is>
        <t>SCL-PUJ-MIA</t>
      </is>
    </nc>
  </rcc>
  <rcc rId="139920" sId="1">
    <oc r="B54" t="inlineStr">
      <is>
        <t>AIR CANADA</t>
      </is>
    </oc>
    <nc r="B54" t="inlineStr">
      <is>
        <t>AIR TRANSAT</t>
      </is>
    </nc>
  </rcc>
  <rcc rId="139921" sId="1">
    <oc r="C54" t="inlineStr">
      <is>
        <t>ACA 1790/1791</t>
      </is>
    </oc>
    <nc r="C54" t="inlineStr">
      <is>
        <t>TSC 186/187</t>
      </is>
    </nc>
  </rcc>
  <rcc rId="139922" sId="1" numFmtId="23">
    <oc r="D54">
      <v>46164.579861111109</v>
    </oc>
    <nc r="D54">
      <v>46167.559027777781</v>
    </nc>
  </rcc>
  <rcc rId="139923" sId="1" numFmtId="23">
    <oc r="E54">
      <v>46164.621527777781</v>
    </oc>
    <nc r="E54">
      <v>46167.614583333336</v>
    </nc>
  </rcc>
  <rcc rId="139924" sId="1">
    <oc r="F54" t="inlineStr">
      <is>
        <t>YUL-PUJ-YUL</t>
      </is>
    </oc>
    <nc r="F54" t="inlineStr">
      <is>
        <t>YYZ-PUJ-YYZ</t>
      </is>
    </nc>
  </rcc>
  <rcc rId="139925" sId="1">
    <oc r="B55" t="inlineStr">
      <is>
        <t>JETBLUE AIRWAYS</t>
      </is>
    </oc>
    <nc r="B55" t="inlineStr">
      <is>
        <t>DELTA AIRLINES</t>
      </is>
    </nc>
  </rcc>
  <rcc rId="139926" sId="1">
    <oc r="C55" t="inlineStr">
      <is>
        <t>JBU 173/1016</t>
      </is>
    </oc>
    <nc r="C55" t="inlineStr">
      <is>
        <t>DAL 1796/1919</t>
      </is>
    </nc>
  </rcc>
  <rcc rId="139927" sId="1" numFmtId="23">
    <oc r="D55">
      <v>46164.579861111109</v>
    </oc>
    <nc r="D55">
      <v>46167.559027777781</v>
    </nc>
  </rcc>
  <rcc rId="139928" sId="1" numFmtId="23">
    <oc r="E55">
      <v>46164.625</v>
    </oc>
    <nc r="E55">
      <v>46167.618055555555</v>
    </nc>
  </rcc>
  <rcc rId="139929" sId="1">
    <oc r="F55" t="inlineStr">
      <is>
        <t>FLL-PUJ-EWR</t>
      </is>
    </oc>
    <nc r="F55" t="inlineStr">
      <is>
        <t>ATL-PUJ-ATL</t>
      </is>
    </nc>
  </rcc>
  <rcc rId="139930" sId="1">
    <oc r="B56" t="inlineStr">
      <is>
        <t>COPA AIRLINES</t>
      </is>
    </oc>
    <nc r="B56" t="inlineStr">
      <is>
        <t>ARAJET</t>
      </is>
    </nc>
  </rcc>
  <rcc rId="139931" sId="1">
    <oc r="C56" t="inlineStr">
      <is>
        <t>CMP 375/376</t>
      </is>
    </oc>
    <nc r="C56" t="inlineStr">
      <is>
        <t>DWI 6463/7002</t>
      </is>
    </nc>
  </rcc>
  <rcc rId="139932" sId="1" numFmtId="23">
    <oc r="D56">
      <v>46164.583333333336</v>
    </oc>
    <nc r="D56">
      <v>46167.561111111114</v>
    </nc>
  </rcc>
  <rcc rId="139933" sId="1" numFmtId="23">
    <oc r="E56">
      <v>46164.631944444445</v>
    </oc>
    <nc r="E56">
      <v>46167.621527777781</v>
    </nc>
  </rcc>
  <rcc rId="139934" sId="1">
    <oc r="F56" t="inlineStr">
      <is>
        <t>PTY-PUJ-PTY</t>
      </is>
    </oc>
    <nc r="F56" t="inlineStr">
      <is>
        <t>COR-PUJ-CUN</t>
      </is>
    </nc>
  </rcc>
  <rcc rId="139935" sId="1">
    <oc r="B57" t="inlineStr">
      <is>
        <t>AMERICAN AIRLINES</t>
      </is>
    </oc>
    <nc r="B57" t="inlineStr">
      <is>
        <t>JETBLUE AIRWAYS</t>
      </is>
    </nc>
  </rcc>
  <rcc rId="139936" sId="1">
    <oc r="C57" t="inlineStr">
      <is>
        <t>AAL 2841/619</t>
      </is>
    </oc>
    <nc r="C57" t="inlineStr">
      <is>
        <t>JBU 1869/1568</t>
      </is>
    </nc>
  </rcc>
  <rcc rId="139937" sId="1" numFmtId="23">
    <oc r="D57">
      <v>46164.59097222222</v>
    </oc>
    <nc r="D57">
      <v>46167.570833333331</v>
    </nc>
  </rcc>
  <rcc rId="139938" sId="1" numFmtId="23">
    <oc r="E57">
      <v>46164.635416666664</v>
    </oc>
    <nc r="E57">
      <v>46167.615972222222</v>
    </nc>
  </rcc>
  <rcc rId="139939" sId="1">
    <oc r="F57" t="inlineStr">
      <is>
        <t>ORD-PUJ-ORD</t>
      </is>
    </oc>
    <nc r="F57" t="inlineStr">
      <is>
        <t>JFK-PUJ-JFK</t>
      </is>
    </nc>
  </rcc>
  <rcc rId="139940" sId="1">
    <oc r="B58" t="inlineStr">
      <is>
        <t>FRONTIER AIRLINES</t>
      </is>
    </oc>
    <nc r="B58" t="inlineStr">
      <is>
        <t>JETBLUE AIRWAYS</t>
      </is>
    </nc>
  </rcc>
  <rcc rId="139941" sId="1">
    <oc r="C58" t="inlineStr">
      <is>
        <t>FFT 25/24</t>
      </is>
    </oc>
    <nc r="C58" t="inlineStr">
      <is>
        <t>JBU 1015/2374</t>
      </is>
    </nc>
  </rcc>
  <rcc rId="139942" sId="1" numFmtId="23">
    <oc r="D58">
      <v>46164.6</v>
    </oc>
    <nc r="D58">
      <v>46167.572916666664</v>
    </nc>
  </rcc>
  <rcc rId="139943" sId="1" numFmtId="23">
    <oc r="E58">
      <v>46164.649305555555</v>
    </oc>
    <nc r="E58">
      <v>46167.618055555555</v>
    </nc>
  </rcc>
  <rcc rId="139944" sId="1">
    <oc r="F58" t="inlineStr">
      <is>
        <t>ATL-PUJ-ATL</t>
      </is>
    </oc>
    <nc r="F58" t="inlineStr">
      <is>
        <t>EWR-PUJ-FLL</t>
      </is>
    </nc>
  </rcc>
  <rcc rId="139945" sId="1">
    <oc r="B59" t="inlineStr">
      <is>
        <t>UNITED AIRLINES</t>
      </is>
    </oc>
    <nc r="B59" t="inlineStr">
      <is>
        <t>AIR TRANSAT</t>
      </is>
    </nc>
  </rcc>
  <rcc rId="139946" sId="1">
    <oc r="C59" t="inlineStr">
      <is>
        <t>UAL 1270/1614</t>
      </is>
    </oc>
    <nc r="C59" t="inlineStr">
      <is>
        <t>TSC 398/399</t>
      </is>
    </nc>
  </rcc>
  <rcc rId="139947" sId="1" numFmtId="23">
    <oc r="D59">
      <v>46164.602083333331</v>
    </oc>
    <nc r="D59">
      <v>46167.572916666664</v>
    </nc>
  </rcc>
  <rcc rId="139948" sId="1" numFmtId="23">
    <oc r="E59">
      <v>46164.649305555555</v>
    </oc>
    <nc r="E59">
      <v>46167.628472222219</v>
    </nc>
  </rcc>
  <rcc rId="139949" sId="1">
    <oc r="F59" t="inlineStr">
      <is>
        <t>ORD-PUJ-IAD</t>
      </is>
    </oc>
    <nc r="F59" t="inlineStr">
      <is>
        <t>YUL-PUJ-YUL</t>
      </is>
    </nc>
  </rcc>
  <rcc rId="139950" sId="1">
    <oc r="B60" t="inlineStr">
      <is>
        <t>TUI AIRWAYS</t>
      </is>
    </oc>
    <nc r="B60" t="inlineStr">
      <is>
        <t>ARAJET</t>
      </is>
    </nc>
  </rcc>
  <rcc rId="139951" sId="1">
    <oc r="C60" t="inlineStr">
      <is>
        <t>TOM 156/157</t>
      </is>
    </oc>
    <nc r="C60" t="inlineStr">
      <is>
        <t>DWI 1501/1081</t>
      </is>
    </nc>
  </rcc>
  <rcc rId="139952" sId="1" numFmtId="23">
    <oc r="D60">
      <v>46164.604166666664</v>
    </oc>
    <nc r="D60">
      <v>46167.576388888891</v>
    </nc>
  </rcc>
  <rcc rId="139953" sId="1" numFmtId="23">
    <oc r="E60">
      <v>46164.6875</v>
    </oc>
    <nc r="E60">
      <v>46167.648611111108</v>
    </nc>
  </rcc>
  <rcc rId="139954" sId="1">
    <oc r="F60" t="inlineStr">
      <is>
        <t>MAN-PUJ-MAN</t>
      </is>
    </oc>
    <nc r="F60" t="inlineStr">
      <is>
        <t>BOG-PUJ-SDQ</t>
      </is>
    </nc>
  </rcc>
  <rcc rId="139955" sId="1">
    <oc r="B61" t="inlineStr">
      <is>
        <t>TUI AIRWAYS</t>
      </is>
    </oc>
    <nc r="B61" t="inlineStr">
      <is>
        <t>JETBLUE AIRWAYS</t>
      </is>
    </nc>
  </rcc>
  <rcc rId="139956" sId="1">
    <oc r="C61" t="inlineStr">
      <is>
        <t>TOM 568/569</t>
      </is>
    </oc>
    <nc r="C61" t="inlineStr">
      <is>
        <t>JBU 173/1016</t>
      </is>
    </nc>
  </rcc>
  <rcc rId="139957" sId="1" numFmtId="23">
    <oc r="D61">
      <v>46164.604166666664</v>
    </oc>
    <nc r="D61">
      <v>46167.579861111109</v>
    </nc>
  </rcc>
  <rcc rId="139958" sId="1" numFmtId="23">
    <oc r="E61">
      <v>46164.715277777781</v>
    </oc>
    <nc r="E61">
      <v>46167.625</v>
    </nc>
  </rcc>
  <rcc rId="139959" sId="1">
    <oc r="F61" t="inlineStr">
      <is>
        <t>BHX-PUJ-BHX</t>
      </is>
    </oc>
    <nc r="F61" t="inlineStr">
      <is>
        <t>FLL-PUJ-EWR</t>
      </is>
    </nc>
  </rcc>
  <rcc rId="139960" sId="1">
    <oc r="B62" t="inlineStr">
      <is>
        <t>WESTJET AIRLINES</t>
      </is>
    </oc>
    <nc r="B62" t="inlineStr">
      <is>
        <t>AIR CANADA</t>
      </is>
    </nc>
  </rcc>
  <rcc rId="139961" sId="1">
    <oc r="C62" t="inlineStr">
      <is>
        <t>WJA 2700/2701</t>
      </is>
    </oc>
    <nc r="C62" t="inlineStr">
      <is>
        <t>ACA 1790/1791</t>
      </is>
    </nc>
  </rcc>
  <rcc rId="139962" sId="1" numFmtId="23">
    <oc r="D62">
      <v>46164.607638888891</v>
    </oc>
    <nc r="D62">
      <v>46167.579861111109</v>
    </nc>
  </rcc>
  <rcc rId="139963" sId="1" numFmtId="23">
    <oc r="E62">
      <v>46164.649305555555</v>
    </oc>
    <nc r="E62">
      <v>46167.621527777781</v>
    </nc>
  </rcc>
  <rcc rId="139964" sId="1">
    <oc r="F62" t="inlineStr">
      <is>
        <t>YYZ-PUJ-YYZ</t>
      </is>
    </oc>
    <nc r="F62" t="inlineStr">
      <is>
        <t>YUL-PUJ-YUL</t>
      </is>
    </nc>
  </rcc>
  <rcc rId="139965" sId="1">
    <oc r="B63" t="inlineStr">
      <is>
        <t>DELTA AIRLINES</t>
      </is>
    </oc>
    <nc r="B63" t="inlineStr">
      <is>
        <t>SUN COUNTRY AIRLINES</t>
      </is>
    </nc>
  </rcc>
  <rcc rId="139966" sId="1">
    <oc r="C63" t="inlineStr">
      <is>
        <t>DAL 1916/1836</t>
      </is>
    </oc>
    <nc r="C63" t="inlineStr">
      <is>
        <t>SCX 739/740</t>
      </is>
    </nc>
  </rcc>
  <rcc rId="139967" sId="1" numFmtId="23">
    <oc r="D63">
      <v>46164.607638888891</v>
    </oc>
    <nc r="D63">
      <v>46167.582638888889</v>
    </nc>
  </rcc>
  <rcc rId="139968" sId="1" numFmtId="23">
    <oc r="E63">
      <v>46164.666666666664</v>
    </oc>
    <nc r="E63">
      <v>46167.625</v>
    </nc>
  </rcc>
  <rcc rId="139969" sId="1">
    <oc r="F63" t="inlineStr">
      <is>
        <t>ATL-PUJ-ATL</t>
      </is>
    </oc>
    <nc r="F63" t="inlineStr">
      <is>
        <t>DFW-PUJ-DFW</t>
      </is>
    </nc>
  </rcc>
  <rcc rId="139970" sId="1">
    <oc r="B64" t="inlineStr">
      <is>
        <t>UNITED AIRLINES</t>
      </is>
    </oc>
    <nc r="B64" t="inlineStr">
      <is>
        <t>COPA AIRLINES</t>
      </is>
    </nc>
  </rcc>
  <rcc rId="139971" sId="1">
    <oc r="C64" t="inlineStr">
      <is>
        <t>UAL 2122/1284</t>
      </is>
    </oc>
    <nc r="C64" t="inlineStr">
      <is>
        <t>CMP 375/376</t>
      </is>
    </nc>
  </rcc>
  <rcc rId="139972" sId="1" numFmtId="23">
    <oc r="D64">
      <v>46164.616666666669</v>
    </oc>
    <nc r="D64">
      <v>46167.583333333336</v>
    </nc>
  </rcc>
  <rcc rId="139973" sId="1" numFmtId="23">
    <oc r="E64">
      <v>46164.666666666664</v>
    </oc>
    <nc r="E64">
      <v>46167.631944444445</v>
    </nc>
  </rcc>
  <rcc rId="139974" sId="1">
    <oc r="F64" t="inlineStr">
      <is>
        <t>EWR-PUJ-IAH</t>
      </is>
    </oc>
    <nc r="F64" t="inlineStr">
      <is>
        <t>PTY-PUJ-PTY</t>
      </is>
    </nc>
  </rcc>
  <rcc rId="139975" sId="1">
    <oc r="B65" t="inlineStr">
      <is>
        <t>SOUTHWEST AIRLINES</t>
      </is>
    </oc>
    <nc r="B65" t="inlineStr">
      <is>
        <t>BRITISH AIRWAYS</t>
      </is>
    </nc>
  </rcc>
  <rcc rId="139976" sId="1">
    <oc r="C65" t="inlineStr">
      <is>
        <t>SWA 821/822</t>
      </is>
    </oc>
    <nc r="C65" t="inlineStr">
      <is>
        <t>BAW 2205/2204</t>
      </is>
    </nc>
  </rcc>
  <rcc rId="139977" sId="1" numFmtId="23">
    <oc r="D65">
      <v>46164.625</v>
    </oc>
    <nc r="D65">
      <v>46167.590277777781</v>
    </nc>
  </rcc>
  <rcc rId="139978" sId="1" numFmtId="23">
    <oc r="E65">
      <v>46164.666666666664</v>
    </oc>
    <nc r="E65">
      <v>46167.697916666664</v>
    </nc>
  </rcc>
  <rcc rId="139979" sId="1">
    <oc r="F65" t="inlineStr">
      <is>
        <t>BWI-PUJ-BWI</t>
      </is>
    </oc>
    <nc r="F65" t="inlineStr">
      <is>
        <t>LGW-PUJ-LGW</t>
      </is>
    </nc>
  </rcc>
  <rcc rId="139980" sId="1">
    <oc r="B66" t="inlineStr">
      <is>
        <t>RUTACA AIRLINES</t>
      </is>
    </oc>
    <nc r="B66" t="inlineStr">
      <is>
        <t>AMERICAN AIRLINES</t>
      </is>
    </nc>
  </rcc>
  <rcc rId="139981" sId="1">
    <oc r="C66" t="inlineStr">
      <is>
        <t>RUC 2230/2231</t>
      </is>
    </oc>
    <nc r="C66" t="inlineStr">
      <is>
        <t>AAL 2841/619</t>
      </is>
    </nc>
  </rcc>
  <rcc rId="139982" sId="1" numFmtId="23">
    <oc r="D66">
      <v>46164.625</v>
    </oc>
    <nc r="D66">
      <v>46167.59097222222</v>
    </nc>
  </rcc>
  <rcc rId="139983" sId="1" numFmtId="23">
    <oc r="E66">
      <v>46164.666666666664</v>
    </oc>
    <nc r="E66">
      <v>46167.635416666664</v>
    </nc>
  </rcc>
  <rcc rId="139984" sId="1">
    <oc r="F66" t="inlineStr">
      <is>
        <t>SCU-PUJ-VLN</t>
      </is>
    </oc>
    <nc r="F66" t="inlineStr">
      <is>
        <t>ORD-PUJ-ORD</t>
      </is>
    </nc>
  </rcc>
  <rcc rId="139985" sId="1">
    <oc r="B67" t="inlineStr">
      <is>
        <t>AMERICAN AIRLINES</t>
      </is>
    </oc>
    <nc r="B67" t="inlineStr">
      <is>
        <t>FRONTIER AIRLINES</t>
      </is>
    </nc>
  </rcc>
  <rcc rId="139986" sId="1">
    <oc r="C67" t="inlineStr">
      <is>
        <t>AAL 1070/845</t>
      </is>
    </oc>
    <nc r="C67" t="inlineStr">
      <is>
        <t>FFT 25/8023</t>
      </is>
    </nc>
  </rcc>
  <rcc rId="139987" sId="1" numFmtId="23">
    <oc r="D67">
      <v>46164.629166666666</v>
    </oc>
    <nc r="D67">
      <v>46167.6</v>
    </nc>
  </rcc>
  <rcc rId="139988" sId="1" numFmtId="23">
    <oc r="E67">
      <v>46164.67083333333</v>
    </oc>
    <nc r="E67">
      <v>46167.648611111108</v>
    </nc>
  </rcc>
  <rcc rId="139989" sId="1">
    <oc r="F67" t="inlineStr">
      <is>
        <t>PHL-PUJ-PHL</t>
      </is>
    </oc>
    <nc r="F67" t="inlineStr">
      <is>
        <t>ATL-PUJ-MSY</t>
      </is>
    </nc>
  </rcc>
  <rcc rId="139990" sId="1">
    <oc r="B68" t="inlineStr">
      <is>
        <t>AMERICAN AIRLINES</t>
      </is>
    </oc>
    <nc r="B68" t="inlineStr">
      <is>
        <t>UNITED AIRLINES</t>
      </is>
    </nc>
  </rcc>
  <rcc rId="139991" sId="1">
    <oc r="C68" t="inlineStr">
      <is>
        <t>AAL 1292/1292</t>
      </is>
    </oc>
    <nc r="C68" t="inlineStr">
      <is>
        <t>UAL 1270/1614</t>
      </is>
    </nc>
  </rcc>
  <rcc rId="139992" sId="1" numFmtId="23">
    <oc r="D68">
      <v>46164.630555555559</v>
    </oc>
    <nc r="D68">
      <v>46167.602083333331</v>
    </nc>
  </rcc>
  <rcc rId="139993" sId="1" numFmtId="23">
    <oc r="E68">
      <v>46164.672222222223</v>
    </oc>
    <nc r="E68">
      <v>46167.649305555555</v>
    </nc>
  </rcc>
  <rcc rId="139994" sId="1">
    <oc r="F68" t="inlineStr">
      <is>
        <t>CLT-PUJ-CLT</t>
      </is>
    </oc>
    <nc r="F68" t="inlineStr">
      <is>
        <t>ORD-PUJ-IAD</t>
      </is>
    </nc>
  </rcc>
  <rcc rId="139995" sId="1">
    <oc r="B69" t="inlineStr">
      <is>
        <t>JETBLUE AIRWAYS</t>
      </is>
    </oc>
    <nc r="B69" t="inlineStr">
      <is>
        <t>DELTA AIRLINES</t>
      </is>
    </nc>
  </rcc>
  <rcc rId="139996" sId="1">
    <oc r="C69" t="inlineStr">
      <is>
        <t>JBU 2031/2132</t>
      </is>
    </oc>
    <nc r="C69" t="inlineStr">
      <is>
        <t>DAL 1916/1836</t>
      </is>
    </nc>
  </rcc>
  <rcc rId="139997" sId="1" numFmtId="23">
    <oc r="D69">
      <v>46164.634722222225</v>
    </oc>
    <nc r="D69">
      <v>46167.607638888891</v>
    </nc>
  </rcc>
  <rcc rId="139998" sId="1" numFmtId="23">
    <oc r="E69">
      <v>46164.679861111108</v>
    </oc>
    <nc r="E69">
      <v>46167.666666666664</v>
    </nc>
  </rcc>
  <rcc rId="139999" sId="1">
    <oc r="F69" t="inlineStr">
      <is>
        <t>SJU-PUJ-SJU</t>
      </is>
    </oc>
    <nc r="F69" t="inlineStr">
      <is>
        <t>ATL-PUJ-ATL</t>
      </is>
    </nc>
  </rcc>
  <rcc rId="140000" sId="1">
    <oc r="B70" t="inlineStr">
      <is>
        <t>AMERICAN AIRLINES</t>
      </is>
    </oc>
    <nc r="B70" t="inlineStr">
      <is>
        <t>WESTJET AIRLINES</t>
      </is>
    </nc>
  </rcc>
  <rcc rId="140001" sId="1">
    <oc r="C70" t="inlineStr">
      <is>
        <t>AAL 2517/2517</t>
      </is>
    </oc>
    <nc r="C70" t="inlineStr">
      <is>
        <t>WJA 2700/2701</t>
      </is>
    </nc>
  </rcc>
  <rcc rId="140002" sId="1" numFmtId="23">
    <oc r="D70">
      <v>46164.635416666664</v>
    </oc>
    <nc r="D70">
      <v>46167.607638888891</v>
    </nc>
  </rcc>
  <rcc rId="140003" sId="1" numFmtId="23">
    <oc r="E70">
      <v>46164.677083333336</v>
    </oc>
    <nc r="E70">
      <v>46167.649305555555</v>
    </nc>
  </rcc>
  <rcc rId="140004" sId="1">
    <oc r="F70" t="inlineStr">
      <is>
        <t>MIA-PUJ-MIA</t>
      </is>
    </oc>
    <nc r="F70" t="inlineStr">
      <is>
        <t>YYZ-PUJ-YYZ</t>
      </is>
    </nc>
  </rcc>
  <rcc rId="140005" sId="1">
    <oc r="B71" t="inlineStr">
      <is>
        <t>LAN PERU</t>
      </is>
    </oc>
    <nc r="B71" t="inlineStr">
      <is>
        <t>UNITED AIRLINES</t>
      </is>
    </nc>
  </rcc>
  <rcc rId="140006" sId="1">
    <oc r="C71" t="inlineStr">
      <is>
        <t>LPE 2452/2453</t>
      </is>
    </oc>
    <nc r="C71" t="inlineStr">
      <is>
        <t>UAL 2122/1284</t>
      </is>
    </nc>
  </rcc>
  <rcc rId="140007" sId="1" numFmtId="23">
    <oc r="D71">
      <v>46164.638888888891</v>
    </oc>
    <nc r="D71">
      <v>46167.616666666669</v>
    </nc>
  </rcc>
  <rcc rId="140008" sId="1" numFmtId="23">
    <oc r="E71">
      <v>46164.725694444445</v>
    </oc>
    <nc r="E71">
      <v>46167.666666666664</v>
    </nc>
  </rcc>
  <rcc rId="140009" sId="1">
    <oc r="F71" t="inlineStr">
      <is>
        <t>LIM-PUJ-LIM</t>
      </is>
    </oc>
    <nc r="F71" t="inlineStr">
      <is>
        <t>EWR-PUJ-IAH</t>
      </is>
    </nc>
  </rcc>
  <rcc rId="140010" sId="1">
    <oc r="B72" t="inlineStr">
      <is>
        <t>AIR CANADA</t>
      </is>
    </oc>
    <nc r="B72" t="inlineStr">
      <is>
        <t>TUI AIRWAYS</t>
      </is>
    </nc>
  </rcc>
  <rcc rId="140011" sId="1">
    <oc r="C72" t="inlineStr">
      <is>
        <t>ACA 1794/1795</t>
      </is>
    </oc>
    <nc r="C72" t="inlineStr">
      <is>
        <t>TOM 566/567</t>
      </is>
    </nc>
  </rcc>
  <rcc rId="140012" sId="1" numFmtId="23">
    <oc r="D72">
      <v>46164.638888888891</v>
    </oc>
    <nc r="D72">
      <v>46167.618055555555</v>
    </nc>
  </rcc>
  <rcc rId="140013" sId="1" numFmtId="23">
    <oc r="E72">
      <v>46164.684027777781</v>
    </oc>
    <nc r="E72">
      <v>46167.701388888891</v>
    </nc>
  </rcc>
  <rcc rId="140014" sId="1">
    <oc r="F72" t="inlineStr">
      <is>
        <t>YYZ-PUJ-YYZ</t>
      </is>
    </oc>
    <nc r="F72" t="inlineStr">
      <is>
        <t>BHX-PUJ-BHX</t>
      </is>
    </nc>
  </rcc>
  <rcc rId="140015" sId="1">
    <oc r="B73" t="inlineStr">
      <is>
        <t>AIR CARAIBES</t>
      </is>
    </oc>
    <nc r="B73" t="inlineStr">
      <is>
        <t>SOUTHWEST AIRLINES</t>
      </is>
    </nc>
  </rcc>
  <rcc rId="140016" sId="1">
    <oc r="C73" t="inlineStr">
      <is>
        <t>FWI 606/607</t>
      </is>
    </oc>
    <nc r="C73" t="inlineStr">
      <is>
        <t>SWA 821/822</t>
      </is>
    </nc>
  </rcc>
  <rcc rId="140017" sId="1" numFmtId="23">
    <oc r="D73">
      <v>46164.642361111109</v>
    </oc>
    <nc r="D73">
      <v>46167.625</v>
    </nc>
  </rcc>
  <rcc rId="140018" sId="1" numFmtId="23">
    <oc r="E73">
      <v>46164.743055555555</v>
    </oc>
    <nc r="E73">
      <v>46167.666666666664</v>
    </nc>
  </rcc>
  <rcc rId="140019" sId="1">
    <oc r="F73" t="inlineStr">
      <is>
        <t>ORY-PUJ-ORY</t>
      </is>
    </oc>
    <nc r="F73" t="inlineStr">
      <is>
        <t>BWI-PUJ-BWI</t>
      </is>
    </nc>
  </rcc>
  <rcc rId="140020" sId="1">
    <oc r="B74" t="inlineStr">
      <is>
        <t>FRONTIER AIRLINES</t>
      </is>
    </oc>
    <nc r="B74" t="inlineStr">
      <is>
        <t>AMERICAN AIRLINES</t>
      </is>
    </nc>
  </rcc>
  <rcc rId="140021" sId="1">
    <oc r="C74" t="inlineStr">
      <is>
        <t>FFT 6/38</t>
      </is>
    </oc>
    <nc r="C74" t="inlineStr">
      <is>
        <t>AAL 1070/845</t>
      </is>
    </nc>
  </rcc>
  <rcc rId="140022" sId="1" numFmtId="23">
    <oc r="D74">
      <v>46164.643750000003</v>
    </oc>
    <nc r="D74">
      <v>46167.629166666666</v>
    </nc>
  </rcc>
  <rcc rId="140023" sId="1" numFmtId="23">
    <oc r="E74">
      <v>46164.692361111112</v>
    </oc>
    <nc r="E74">
      <v>46167.67083333333</v>
    </nc>
  </rcc>
  <rcc rId="140024" sId="1">
    <oc r="F74" t="inlineStr">
      <is>
        <t>STL-PUJ-SJU</t>
      </is>
    </oc>
    <nc r="F74" t="inlineStr">
      <is>
        <t>PHL-PUJ-PHL</t>
      </is>
    </nc>
  </rcc>
  <rcc rId="140025" sId="1">
    <oc r="B75" t="inlineStr">
      <is>
        <t>UNITED AIRLINES</t>
      </is>
    </oc>
    <nc r="B75" t="inlineStr">
      <is>
        <t>AMERICAN AIRLINES</t>
      </is>
    </nc>
  </rcc>
  <rcc rId="140026" sId="1">
    <oc r="C75" t="inlineStr">
      <is>
        <t>UAL 420/1526</t>
      </is>
    </oc>
    <nc r="C75" t="inlineStr">
      <is>
        <t>AAL 1292/1292</t>
      </is>
    </nc>
  </rcc>
  <rcc rId="140027" sId="1" numFmtId="23">
    <oc r="D75">
      <v>46164.645833333336</v>
    </oc>
    <nc r="D75">
      <v>46167.630555555559</v>
    </nc>
  </rcc>
  <rcc rId="140028" sId="1" numFmtId="23">
    <oc r="E75">
      <v>46164.694444444445</v>
    </oc>
    <nc r="E75">
      <v>46167.672222222223</v>
    </nc>
  </rcc>
  <rcc rId="140029" sId="1">
    <oc r="F75" t="inlineStr">
      <is>
        <t>IAH-PUJ-EWR</t>
      </is>
    </oc>
    <nc r="F75" t="inlineStr">
      <is>
        <t>CLT-PUJ-CLT</t>
      </is>
    </nc>
  </rcc>
  <rcc rId="140030" sId="1">
    <oc r="B76" t="inlineStr">
      <is>
        <t>AEROMEXICO</t>
      </is>
    </oc>
    <nc r="B76" t="inlineStr">
      <is>
        <t>JETBLUE AIRWAYS</t>
      </is>
    </nc>
  </rcc>
  <rcc rId="140031" sId="1">
    <oc r="C76" t="inlineStr">
      <is>
        <t>AMX 460/461</t>
      </is>
    </oc>
    <nc r="C76" t="inlineStr">
      <is>
        <t>JBU 2031/2132</t>
      </is>
    </nc>
  </rcc>
  <rcc rId="140032" sId="1" numFmtId="23">
    <oc r="D76">
      <v>46164.645833333336</v>
    </oc>
    <nc r="D76">
      <v>46167.634722222225</v>
    </nc>
  </rcc>
  <rcc rId="140033" sId="1" numFmtId="23">
    <oc r="E76">
      <v>46164.704861111109</v>
    </oc>
    <nc r="E76">
      <v>46167.679861111108</v>
    </nc>
  </rcc>
  <rcc rId="140034" sId="1">
    <oc r="F76" t="inlineStr">
      <is>
        <t>MEX-PUJ-MEX</t>
      </is>
    </oc>
    <nc r="F76" t="inlineStr">
      <is>
        <t>SJU-PUJ-SJU</t>
      </is>
    </nc>
  </rcc>
  <rcc rId="140035" sId="1">
    <oc r="C77" t="inlineStr">
      <is>
        <t>AAL 973/2790</t>
      </is>
    </oc>
    <nc r="C77" t="inlineStr">
      <is>
        <t>AAL 2517/2517</t>
      </is>
    </nc>
  </rcc>
  <rcc rId="140036" sId="1" numFmtId="23">
    <oc r="D77">
      <v>46164.65625</v>
    </oc>
    <nc r="D77">
      <v>46167.635416666664</v>
    </nc>
  </rcc>
  <rcc rId="140037" sId="1" numFmtId="23">
    <oc r="E77">
      <v>46164.70208333333</v>
    </oc>
    <nc r="E77">
      <v>46167.677083333336</v>
    </nc>
  </rcc>
  <rcc rId="140038" sId="1">
    <oc r="F77" t="inlineStr">
      <is>
        <t>CLT-PUJ-CLT</t>
      </is>
    </oc>
    <nc r="F77" t="inlineStr">
      <is>
        <t>MIA-PUJ-MIA</t>
      </is>
    </nc>
  </rcc>
  <rcc rId="140039" sId="1">
    <oc r="B78" t="inlineStr">
      <is>
        <t>JETBLUE AIRWAYS</t>
      </is>
    </oc>
    <nc r="B78" t="inlineStr">
      <is>
        <t>LAN PERU</t>
      </is>
    </nc>
  </rcc>
  <rcc rId="140040" sId="1">
    <oc r="C78" t="inlineStr">
      <is>
        <t>JBU 2077/2078</t>
      </is>
    </oc>
    <nc r="C78" t="inlineStr">
      <is>
        <t>LPE 2452/2453</t>
      </is>
    </nc>
  </rcc>
  <rcc rId="140041" sId="1" numFmtId="23">
    <oc r="D78">
      <v>46164.665972222225</v>
    </oc>
    <nc r="D78">
      <v>46167.638888888891</v>
    </nc>
  </rcc>
  <rcc rId="140042" sId="1" numFmtId="23">
    <oc r="E78">
      <v>46164.711111111108</v>
    </oc>
    <nc r="E78">
      <v>46167.725694444445</v>
    </nc>
  </rcc>
  <rcc rId="140043" sId="1">
    <oc r="F78" t="inlineStr">
      <is>
        <t>MCO-PUJ-MCO</t>
      </is>
    </oc>
    <nc r="F78" t="inlineStr">
      <is>
        <t>LIM-PUJ-LIM</t>
      </is>
    </nc>
  </rcc>
  <rcc rId="140044" sId="1">
    <oc r="B79" t="inlineStr">
      <is>
        <t>COPA AIRLINES</t>
      </is>
    </oc>
    <nc r="B79" t="inlineStr">
      <is>
        <t>AIR CANADA</t>
      </is>
    </nc>
  </rcc>
  <rcc rId="140045" sId="1">
    <oc r="C79" t="inlineStr">
      <is>
        <t>CMP 748/749</t>
      </is>
    </oc>
    <nc r="C79" t="inlineStr">
      <is>
        <t>ACA 1794/1795</t>
      </is>
    </nc>
  </rcc>
  <rcc rId="140046" sId="1" numFmtId="23">
    <oc r="D79">
      <v>46164.666666666664</v>
    </oc>
    <nc r="D79">
      <v>46167.638888888891</v>
    </nc>
  </rcc>
  <rcc rId="140047" sId="1" numFmtId="23">
    <oc r="E79">
      <v>46164.745833333334</v>
    </oc>
    <nc r="E79">
      <v>46167.684027777781</v>
    </nc>
  </rcc>
  <rcc rId="140048" sId="1">
    <oc r="F79" t="inlineStr">
      <is>
        <t>PTY-PUJ-PTY</t>
      </is>
    </oc>
    <nc r="F79" t="inlineStr">
      <is>
        <t>YYZ-PUJ-YYZ</t>
      </is>
    </nc>
  </rcc>
  <rcc rId="140049" sId="1">
    <oc r="B80" t="inlineStr">
      <is>
        <t>AMERICAN AIRLINES</t>
      </is>
    </oc>
    <nc r="B80" t="inlineStr">
      <is>
        <t>FRONTIER AIRLINES</t>
      </is>
    </nc>
  </rcc>
  <rcc rId="140050" sId="1">
    <oc r="C80" t="inlineStr">
      <is>
        <t>AAL 503/1037</t>
      </is>
    </oc>
    <nc r="C80" t="inlineStr">
      <is>
        <t>FFT 6/38</t>
      </is>
    </nc>
  </rcc>
  <rcc rId="140051" sId="1" numFmtId="23">
    <oc r="D80">
      <v>46164.669444444444</v>
    </oc>
    <nc r="D80">
      <v>46167.643750000003</v>
    </nc>
  </rcc>
  <rcc rId="140052" sId="1" numFmtId="23">
    <oc r="E80">
      <v>46164.711111111108</v>
    </oc>
    <nc r="E80">
      <v>46167.692361111112</v>
    </nc>
  </rcc>
  <rcc rId="140053" sId="1">
    <oc r="F80" t="inlineStr">
      <is>
        <t>DFW-PUJ-DFW</t>
      </is>
    </oc>
    <nc r="F80" t="inlineStr">
      <is>
        <t>STL-PUJ-SJU</t>
      </is>
    </nc>
  </rcc>
  <rcc rId="140054" sId="1">
    <oc r="B81" t="inlineStr">
      <is>
        <t>LAN CHILE</t>
      </is>
    </oc>
    <nc r="B81" t="inlineStr">
      <is>
        <t>UNITED AIRLINES</t>
      </is>
    </nc>
  </rcc>
  <rcc rId="140055" sId="1">
    <oc r="C81" t="inlineStr">
      <is>
        <t>LAN 592/592</t>
      </is>
    </oc>
    <nc r="C81" t="inlineStr">
      <is>
        <t>UAL 420/1526</t>
      </is>
    </nc>
  </rcc>
  <rcc rId="140056" sId="1" numFmtId="23">
    <oc r="D81">
      <v>46164.680555555555</v>
    </oc>
    <nc r="D81">
      <v>46167.645833333336</v>
    </nc>
  </rcc>
  <rcc rId="140057" sId="1" numFmtId="23">
    <oc r="E81">
      <v>46164.743055555555</v>
    </oc>
    <nc r="E81">
      <v>46167.694444444445</v>
    </nc>
  </rcc>
  <rcc rId="140058" sId="1">
    <oc r="F81" t="inlineStr">
      <is>
        <t>SCL-PUJ-MIA</t>
      </is>
    </oc>
    <nc r="F81" t="inlineStr">
      <is>
        <t>IAH-PUJ-EWR</t>
      </is>
    </nc>
  </rcc>
  <rcc rId="140059" sId="1">
    <oc r="B82" t="inlineStr">
      <is>
        <t>SKY AIRLINE PERÚ</t>
      </is>
    </oc>
    <nc r="B82" t="inlineStr">
      <is>
        <t>AEROMEXICO</t>
      </is>
    </nc>
  </rcc>
  <rcc rId="140060" sId="1">
    <oc r="C82" t="inlineStr">
      <is>
        <t>SKX 5580/5581</t>
      </is>
    </oc>
    <nc r="C82" t="inlineStr">
      <is>
        <t>AMX 460/461</t>
      </is>
    </nc>
  </rcc>
  <rcc rId="140061" sId="1" numFmtId="23">
    <oc r="D82">
      <v>46164.680555555555</v>
    </oc>
    <nc r="D82">
      <v>46167.645833333336</v>
    </nc>
  </rcc>
  <rcc rId="140062" sId="1" numFmtId="23">
    <oc r="E82">
      <v>46164.729166666664</v>
    </oc>
    <nc r="E82">
      <v>46167.704861111109</v>
    </nc>
  </rcc>
  <rcc rId="140063" sId="1">
    <oc r="F82" t="inlineStr">
      <is>
        <t>LIM-PUJ-LIM</t>
      </is>
    </oc>
    <nc r="F82" t="inlineStr">
      <is>
        <t>MEX-PUJ-MEX</t>
      </is>
    </nc>
  </rcc>
  <rcc rId="140064" sId="1">
    <oc r="B83" t="inlineStr">
      <is>
        <t>JETBLUE AIRWAYS</t>
      </is>
    </oc>
    <nc r="B83" t="inlineStr">
      <is>
        <t>AMERICAN AIRLINES</t>
      </is>
    </nc>
  </rcc>
  <rcc rId="140065" sId="1">
    <oc r="C83" t="inlineStr">
      <is>
        <t>JBU 2940/2941</t>
      </is>
    </oc>
    <nc r="C83" t="inlineStr">
      <is>
        <t>AAL 973/2790</t>
      </is>
    </nc>
  </rcc>
  <rcc rId="140066" sId="1" numFmtId="23">
    <oc r="D83">
      <v>46164.68472222222</v>
    </oc>
    <nc r="D83">
      <v>46167.65625</v>
    </nc>
  </rcc>
  <rcc rId="140067" sId="1" numFmtId="23">
    <oc r="E83">
      <v>46164.729861111111</v>
    </oc>
    <nc r="E83">
      <v>46167.70208333333</v>
    </nc>
  </rcc>
  <rcc rId="140068" sId="1">
    <oc r="F83" t="inlineStr">
      <is>
        <t>SJU-PUJ-SJU</t>
      </is>
    </oc>
    <nc r="F83" t="inlineStr">
      <is>
        <t>CLT-PUJ-CLT</t>
      </is>
    </nc>
  </rcc>
  <rcc rId="140069" sId="1">
    <oc r="C84" t="inlineStr">
      <is>
        <t>JBU 1595/1596</t>
      </is>
    </oc>
    <nc r="C84" t="inlineStr">
      <is>
        <t>JBU 2077/2078</t>
      </is>
    </nc>
  </rcc>
  <rcc rId="140070" sId="1" numFmtId="23">
    <oc r="D84">
      <v>46164.693749999999</v>
    </oc>
    <nc r="D84">
      <v>46167.665972222225</v>
    </nc>
  </rcc>
  <rcc rId="140071" sId="1" numFmtId="23">
    <oc r="E84">
      <v>46164.738888888889</v>
    </oc>
    <nc r="E84">
      <v>46167.711111111108</v>
    </nc>
  </rcc>
  <rcc rId="140072" sId="1">
    <oc r="F84" t="inlineStr">
      <is>
        <t>BOS-PUJ-BOS</t>
      </is>
    </oc>
    <nc r="F84" t="inlineStr">
      <is>
        <t>MCO-PUJ-MCO</t>
      </is>
    </nc>
  </rcc>
  <rcc rId="140073" sId="1">
    <oc r="B85" t="inlineStr">
      <is>
        <t>AVIANCA</t>
      </is>
    </oc>
    <nc r="B85" t="inlineStr">
      <is>
        <t>COPA AIRLINES</t>
      </is>
    </nc>
  </rcc>
  <rcc rId="140074" sId="1">
    <oc r="C85" t="inlineStr">
      <is>
        <t>AVA 252/253</t>
      </is>
    </oc>
    <nc r="C85" t="inlineStr">
      <is>
        <t>CMP 748/749</t>
      </is>
    </nc>
  </rcc>
  <rcc rId="140075" sId="1" numFmtId="23">
    <oc r="D85">
      <v>46164.697916666664</v>
    </oc>
    <nc r="D85">
      <v>46167.666666666664</v>
    </nc>
  </rcc>
  <rcc rId="140076" sId="1" numFmtId="23">
    <oc r="E85">
      <v>46164.75</v>
    </oc>
    <nc r="E85">
      <v>46167.745833333334</v>
    </nc>
  </rcc>
  <rcc rId="140077" sId="1">
    <oc r="F85" t="inlineStr">
      <is>
        <t>BOG-PUJ-BOG</t>
      </is>
    </oc>
    <nc r="F85" t="inlineStr">
      <is>
        <t>PTY-PUJ-PTY</t>
      </is>
    </nc>
  </rcc>
  <rcc rId="140078" sId="1">
    <oc r="C86" t="inlineStr">
      <is>
        <t>AAL 2638/2638</t>
      </is>
    </oc>
    <nc r="C86" t="inlineStr">
      <is>
        <t>AAL 503/1037</t>
      </is>
    </nc>
  </rcc>
  <rcc rId="140079" sId="1" numFmtId="23">
    <oc r="D86">
      <v>46164.7</v>
    </oc>
    <nc r="D86">
      <v>46167.669444444444</v>
    </nc>
  </rcc>
  <rcc rId="140080" sId="1" numFmtId="23">
    <oc r="E86">
      <v>46164.741666666669</v>
    </oc>
    <nc r="E86">
      <v>46167.711111111108</v>
    </nc>
  </rcc>
  <rcc rId="140081" sId="1">
    <oc r="F86" t="inlineStr">
      <is>
        <t>MIA-PUJ-MIA</t>
      </is>
    </oc>
    <nc r="F86" t="inlineStr">
      <is>
        <t>DFW-PUJ-DFW</t>
      </is>
    </nc>
  </rcc>
  <rcc rId="140082" sId="1">
    <oc r="B87" t="inlineStr">
      <is>
        <t>AEROLINEAS ARGENTINAS</t>
      </is>
    </oc>
    <nc r="B87" t="inlineStr">
      <is>
        <t>SKY AIRLINE PERÚ</t>
      </is>
    </nc>
  </rcc>
  <rcc rId="140083" sId="1">
    <oc r="C87" t="inlineStr">
      <is>
        <t>ARG 1328/1329</t>
      </is>
    </oc>
    <nc r="C87" t="inlineStr">
      <is>
        <t>SKX 5580/5581</t>
      </is>
    </nc>
  </rcc>
  <rcc rId="140084" sId="1" numFmtId="23">
    <oc r="D87">
      <v>46164.701388888891</v>
    </oc>
    <nc r="D87">
      <v>46167.680555555555</v>
    </nc>
  </rcc>
  <rcc rId="140085" sId="1" numFmtId="23">
    <oc r="E87">
      <v>46164.805555555555</v>
    </oc>
    <nc r="E87">
      <v>46167.729166666664</v>
    </nc>
  </rcc>
  <rcc rId="140086" sId="1">
    <oc r="F87" t="inlineStr">
      <is>
        <t>EZE, TUC-PUJ-TUC, EZE</t>
      </is>
    </oc>
    <nc r="F87" t="inlineStr">
      <is>
        <t>LIM-PUJ-LIM</t>
      </is>
    </nc>
  </rcc>
  <rcc rId="140087" sId="1">
    <oc r="B88" t="inlineStr">
      <is>
        <t>EDELWEISS AIR</t>
      </is>
    </oc>
    <nc r="B88" t="inlineStr">
      <is>
        <t>TUI AIRWAYS</t>
      </is>
    </nc>
  </rcc>
  <rcc rId="140088" sId="1">
    <oc r="C88" t="inlineStr">
      <is>
        <t>EDW 034/035</t>
      </is>
    </oc>
    <nc r="C88" t="inlineStr">
      <is>
        <t>TOM 168/169</t>
      </is>
    </nc>
  </rcc>
  <rcc rId="140089" sId="1" numFmtId="23">
    <oc r="D88">
      <v>46164.725694444445</v>
    </oc>
    <nc r="D88">
      <v>46167.684027777781</v>
    </nc>
  </rcc>
  <rcc rId="140090" sId="1" numFmtId="23">
    <oc r="E88">
      <v>46164.826388888891</v>
    </oc>
    <nc r="E88">
      <v>46167.767361111109</v>
    </nc>
  </rcc>
  <rcc rId="140091" sId="1">
    <oc r="F88" t="inlineStr">
      <is>
        <t>ZRH-PUJ-ZRH</t>
      </is>
    </oc>
    <nc r="F88" t="inlineStr">
      <is>
        <t>MAN-PUJ-MAN</t>
      </is>
    </nc>
  </rcc>
  <rcc rId="140092" sId="1">
    <oc r="B89" t="inlineStr">
      <is>
        <t>AVIANCA</t>
      </is>
    </oc>
    <nc r="B89" t="inlineStr">
      <is>
        <t>JETBLUE AIRWAYS</t>
      </is>
    </nc>
  </rcc>
  <rcc rId="140093" sId="1">
    <oc r="C89" t="inlineStr">
      <is>
        <t>AVA 136/137</t>
      </is>
    </oc>
    <nc r="C89" t="inlineStr">
      <is>
        <t>JBU 2940/2941</t>
      </is>
    </nc>
  </rcc>
  <rcc rId="140094" sId="1" numFmtId="23">
    <oc r="D89">
      <v>46164.725694444445</v>
    </oc>
    <nc r="D89">
      <v>46167.68472222222</v>
    </nc>
  </rcc>
  <rcc rId="140095" sId="1" numFmtId="23">
    <oc r="E89">
      <v>46164.774305555555</v>
    </oc>
    <nc r="E89">
      <v>46167.729861111111</v>
    </nc>
  </rcc>
  <rcc rId="140096" sId="1">
    <oc r="F89" t="inlineStr">
      <is>
        <t>BOG-PUJ-BOG</t>
      </is>
    </oc>
    <nc r="F89" t="inlineStr">
      <is>
        <t>SJU-PUJ-SJU</t>
      </is>
    </nc>
  </rcc>
  <rcc rId="140097" sId="1">
    <oc r="B90" t="inlineStr">
      <is>
        <t>LAN PERU</t>
      </is>
    </oc>
    <nc r="B90" t="inlineStr">
      <is>
        <t>JETBLUE AIRWAYS</t>
      </is>
    </nc>
  </rcc>
  <rcc rId="140098" sId="1">
    <oc r="C90" t="inlineStr">
      <is>
        <t>LPE 2460/2461</t>
      </is>
    </oc>
    <nc r="C90" t="inlineStr">
      <is>
        <t>JBU 1595/1596</t>
      </is>
    </nc>
  </rcc>
  <rcc rId="140099" sId="1" numFmtId="23">
    <oc r="D90">
      <v>46164.729166666664</v>
    </oc>
    <nc r="D90">
      <v>46167.693749999999</v>
    </nc>
  </rcc>
  <rcc rId="140100" sId="1" numFmtId="23">
    <oc r="E90">
      <v>46164.777777777781</v>
    </oc>
    <nc r="E90">
      <v>46167.738888888889</v>
    </nc>
  </rcc>
  <rcc rId="140101" sId="1">
    <oc r="F90" t="inlineStr">
      <is>
        <t>LIM-PUJ-LIM</t>
      </is>
    </oc>
    <nc r="F90" t="inlineStr">
      <is>
        <t>BOS-PUJ-BOS</t>
      </is>
    </nc>
  </rcc>
  <rcc rId="140102" sId="1">
    <oc r="B91" t="inlineStr">
      <is>
        <t>COPA AIRLINES</t>
      </is>
    </oc>
    <nc r="B91" t="inlineStr">
      <is>
        <t>AVIANCA</t>
      </is>
    </nc>
  </rcc>
  <rcc rId="140103" sId="1">
    <oc r="C91" t="inlineStr">
      <is>
        <t>CMP 352/351</t>
      </is>
    </oc>
    <nc r="C91" t="inlineStr">
      <is>
        <t>AVA 252/253</t>
      </is>
    </nc>
  </rcc>
  <rcc rId="140104" sId="1" numFmtId="23">
    <oc r="D91">
      <v>46164.731944444444</v>
    </oc>
    <nc r="D91">
      <v>46167.697916666664</v>
    </nc>
  </rcc>
  <rcc rId="140105" sId="1" numFmtId="23">
    <oc r="E91">
      <v>46164.774305555555</v>
    </oc>
    <nc r="E91">
      <v>46167.75</v>
    </nc>
  </rcc>
  <rcc rId="140106" sId="1">
    <oc r="F91" t="inlineStr">
      <is>
        <t>PTY-PUJ-PTY</t>
      </is>
    </oc>
    <nc r="F91" t="inlineStr">
      <is>
        <t>BOG-PUJ-BOG</t>
      </is>
    </nc>
  </rcc>
  <rcc rId="140107" sId="1">
    <oc r="B92" t="inlineStr">
      <is>
        <t>UNITED AIRLINES</t>
      </is>
    </oc>
    <nc r="B92" t="inlineStr">
      <is>
        <t>AMERICAN AIRLINES</t>
      </is>
    </nc>
  </rcc>
  <rcc rId="140108" sId="1">
    <oc r="C92" t="inlineStr">
      <is>
        <t>UAL 1699/1518</t>
      </is>
    </oc>
    <nc r="C92" t="inlineStr">
      <is>
        <t>AAL 2638/2638</t>
      </is>
    </nc>
  </rcc>
  <rcc rId="140109" sId="1" numFmtId="23">
    <oc r="D92">
      <v>46164.732638888891</v>
    </oc>
    <nc r="D92">
      <v>46167.7</v>
    </nc>
  </rcc>
  <rcc rId="140110" sId="1" numFmtId="23">
    <oc r="E92">
      <v>46164.78125</v>
    </oc>
    <nc r="E92">
      <v>46167.741666666669</v>
    </nc>
  </rcc>
  <rcc rId="140111" sId="1">
    <oc r="F92" t="inlineStr">
      <is>
        <t>DEN-PUJ-EWR</t>
      </is>
    </oc>
    <nc r="F92" t="inlineStr">
      <is>
        <t>MIA-PUJ-MIA</t>
      </is>
    </nc>
  </rcc>
  <rcc rId="140112" sId="1">
    <oc r="B93" t="inlineStr">
      <is>
        <t>CONDOR</t>
      </is>
    </oc>
    <nc r="B93" t="inlineStr">
      <is>
        <t>AVIANCA</t>
      </is>
    </nc>
  </rcc>
  <rcc rId="140113" sId="1">
    <oc r="C93" t="inlineStr">
      <is>
        <t>CFG 2228/2229</t>
      </is>
    </oc>
    <nc r="C93" t="inlineStr">
      <is>
        <t>AVA 136/137</t>
      </is>
    </nc>
  </rcc>
  <rcc rId="140114" sId="1" numFmtId="23">
    <oc r="D93">
      <v>46164.760416666664</v>
    </oc>
    <nc r="D93">
      <v>46167.725694444445</v>
    </nc>
  </rcc>
  <rcc rId="140115" sId="1" numFmtId="23">
    <oc r="E93">
      <v>46164.84375</v>
    </oc>
    <nc r="E93">
      <v>46167.774305555555</v>
    </nc>
  </rcc>
  <rcc rId="140116" sId="1">
    <oc r="F93" t="inlineStr">
      <is>
        <t>FRA-PUJ-FRA</t>
      </is>
    </oc>
    <nc r="F93" t="inlineStr">
      <is>
        <t>BOG-PUJ-BOG</t>
      </is>
    </nc>
  </rcc>
  <rcc rId="140117" sId="1">
    <oc r="B94" t="inlineStr">
      <is>
        <t>LAN PERU</t>
      </is>
    </oc>
    <nc r="B94" t="inlineStr">
      <is>
        <t>COPA AIRLINES</t>
      </is>
    </nc>
  </rcc>
  <rcc rId="140118" sId="1">
    <oc r="C94" t="inlineStr">
      <is>
        <t>LPE 2450/2451</t>
      </is>
    </oc>
    <nc r="C94" t="inlineStr">
      <is>
        <t>CMP 352/351</t>
      </is>
    </nc>
  </rcc>
  <rcc rId="140119" sId="1" numFmtId="23">
    <oc r="D94">
      <v>46164.770833333336</v>
    </oc>
    <nc r="D94">
      <v>46167.731944444444</v>
    </nc>
  </rcc>
  <rcc rId="140120" sId="1" numFmtId="23">
    <oc r="E94">
      <v>46164.815972222219</v>
    </oc>
    <nc r="E94">
      <v>46167.774305555555</v>
    </nc>
  </rcc>
  <rcc rId="140121" sId="1">
    <oc r="F94" t="inlineStr">
      <is>
        <t>LIM-PUJ-LIM</t>
      </is>
    </oc>
    <nc r="F94" t="inlineStr">
      <is>
        <t>PTY-PUJ-PTY</t>
      </is>
    </nc>
  </rcc>
  <rcc rId="140122" sId="1">
    <oc r="B95" t="inlineStr">
      <is>
        <t>ARAJET</t>
      </is>
    </oc>
    <nc r="B95" t="inlineStr">
      <is>
        <t>UNITED AIRLINES</t>
      </is>
    </nc>
  </rcc>
  <rcc rId="140123" sId="1">
    <oc r="C95" t="inlineStr">
      <is>
        <t>DWI 1003/6266</t>
      </is>
    </oc>
    <nc r="C95" t="inlineStr">
      <is>
        <t>UAL 1699/1518</t>
      </is>
    </nc>
  </rcc>
  <rcc rId="140124" sId="1" numFmtId="23">
    <oc r="D95">
      <v>46164.785416666666</v>
    </oc>
    <nc r="D95">
      <v>46167.732638888891</v>
    </nc>
  </rcc>
  <rcc rId="140125" sId="1" numFmtId="23">
    <oc r="E95">
      <v>46164.90625</v>
    </oc>
    <nc r="E95">
      <v>46167.78125</v>
    </nc>
  </rcc>
  <rcc rId="140126" sId="1">
    <oc r="F95" t="inlineStr">
      <is>
        <t>SJU-PUJ-EZE</t>
      </is>
    </oc>
    <nc r="F95" t="inlineStr">
      <is>
        <t>DEN-PUJ-EWR</t>
      </is>
    </nc>
  </rcc>
  <rcc rId="140127" sId="1">
    <oc r="B96" t="inlineStr">
      <is>
        <t>AIR EUROPA</t>
      </is>
    </oc>
    <nc r="B96" t="inlineStr">
      <is>
        <t>LAN PERU</t>
      </is>
    </nc>
  </rcc>
  <rcc rId="140128" sId="1">
    <oc r="C96" t="inlineStr">
      <is>
        <t>AEA 033/034</t>
      </is>
    </oc>
    <nc r="C96" t="inlineStr">
      <is>
        <t>LPE 2460/2461</t>
      </is>
    </nc>
  </rcc>
  <rcc rId="140129" sId="1" numFmtId="23">
    <oc r="D96">
      <v>46164.809027777781</v>
    </oc>
    <nc r="D96">
      <v>46167.732638888891</v>
    </nc>
  </rcc>
  <rcc rId="140130" sId="1" numFmtId="23">
    <oc r="E96">
      <v>46164.888888888891</v>
    </oc>
    <nc r="E96">
      <v>46167.777777777781</v>
    </nc>
  </rcc>
  <rcc rId="140131" sId="1">
    <oc r="F96" t="inlineStr">
      <is>
        <t>MAD-PUJ-MAD</t>
      </is>
    </oc>
    <nc r="F96" t="inlineStr">
      <is>
        <t>LIM-PUJ-LIM</t>
      </is>
    </nc>
  </rcc>
  <rcc rId="140132" sId="1">
    <oc r="B97" t="inlineStr">
      <is>
        <t>ARAJET</t>
      </is>
    </oc>
    <nc r="B97" t="inlineStr">
      <is>
        <t>WINGO</t>
      </is>
    </nc>
  </rcc>
  <rcc rId="140133" sId="1">
    <oc r="C97" t="inlineStr">
      <is>
        <t>DWI 5101</t>
      </is>
    </oc>
    <nc r="C97" t="inlineStr">
      <is>
        <t>RPB 7024/7025</t>
      </is>
    </nc>
  </rcc>
  <rcc rId="140134" sId="1" numFmtId="23">
    <oc r="D97">
      <v>46164.82916666667</v>
    </oc>
    <nc r="D97">
      <v>46167.73333333333</v>
    </nc>
  </rcc>
  <rcc rId="140135" sId="1" numFmtId="23">
    <oc r="E97" t="inlineStr">
      <is>
        <t>OVER</t>
      </is>
    </oc>
    <nc r="E97">
      <v>46167.765277777777</v>
    </nc>
  </rcc>
  <rcc rId="140136" sId="1">
    <oc r="F97" t="inlineStr">
      <is>
        <t>MIA-PUJ</t>
      </is>
    </oc>
    <nc r="F97" t="inlineStr">
      <is>
        <t>BOG-PUJ-BOG</t>
      </is>
    </nc>
  </rcc>
  <rcc rId="140137" sId="1">
    <oc r="B98" t="inlineStr">
      <is>
        <t>ARAJET</t>
      </is>
    </oc>
    <nc r="B98" t="inlineStr">
      <is>
        <t>WORLD2FLY PORTUGAL</t>
      </is>
    </nc>
  </rcc>
  <rcc rId="140138" sId="1">
    <oc r="C98" t="inlineStr">
      <is>
        <t>DWI 1733</t>
      </is>
    </oc>
    <nc r="C98" t="inlineStr">
      <is>
        <t>WPT 3153/3154</t>
      </is>
    </nc>
  </rcc>
  <rcc rId="140139" sId="1" numFmtId="23">
    <oc r="D98">
      <v>46164.840277777781</v>
    </oc>
    <nc r="D98">
      <v>46167.739583333336</v>
    </nc>
  </rcc>
  <rcc rId="140140" sId="1" numFmtId="23">
    <oc r="E98" t="inlineStr">
      <is>
        <t>OVER</t>
      </is>
    </oc>
    <nc r="E98">
      <v>46167.822916666664</v>
    </nc>
  </rcc>
  <rcc rId="140141" sId="1">
    <oc r="F98" t="inlineStr">
      <is>
        <t>MDE-PUJ</t>
      </is>
    </oc>
    <nc r="F98" t="inlineStr">
      <is>
        <t>LIS-PUJ-LIS</t>
      </is>
    </nc>
  </rcc>
  <rcc rId="140142" sId="1">
    <oc r="B99" t="inlineStr">
      <is>
        <t>FRONTIER AIRLINES</t>
      </is>
    </oc>
    <nc r="B99" t="inlineStr">
      <is>
        <t>RUTACA AIRLINES</t>
      </is>
    </nc>
  </rcc>
  <rcc rId="140143" sId="1">
    <oc r="C99" t="inlineStr">
      <is>
        <t>FFT 241/240</t>
      </is>
    </oc>
    <nc r="C99" t="inlineStr">
      <is>
        <t>RUC 2233/2233</t>
      </is>
    </nc>
  </rcc>
  <rcc rId="140144" sId="1" numFmtId="23">
    <oc r="D99">
      <v>46164.84652777778</v>
    </oc>
    <nc r="D99">
      <v>46167.75</v>
    </nc>
  </rcc>
  <rcc rId="140145" sId="1" numFmtId="23">
    <oc r="E99">
      <v>46164.895138888889</v>
    </oc>
    <nc r="E99">
      <v>46167.791666666664</v>
    </nc>
  </rcc>
  <rcc rId="140146" sId="1">
    <oc r="F99" t="inlineStr">
      <is>
        <t>SJU-PUJ-SJU</t>
      </is>
    </oc>
    <nc r="F99" t="inlineStr">
      <is>
        <t>HAV-PUJ-VLN</t>
      </is>
    </nc>
  </rcc>
  <rcc rId="140147" sId="1">
    <oc r="B100" t="inlineStr">
      <is>
        <t>ARAJET</t>
      </is>
    </oc>
    <nc r="B100" t="inlineStr">
      <is>
        <t>CONDOR</t>
      </is>
    </nc>
  </rcc>
  <rcc rId="140148" sId="1">
    <oc r="C100" t="inlineStr">
      <is>
        <t>DWI 1501</t>
      </is>
    </oc>
    <nc r="C100" t="inlineStr">
      <is>
        <t>CFG 2228/2229</t>
      </is>
    </nc>
  </rcc>
  <rcc rId="140149" sId="1" numFmtId="23">
    <oc r="D100">
      <v>46164.848611111112</v>
    </oc>
    <nc r="D100">
      <v>46167.753472222219</v>
    </nc>
  </rcc>
  <rcc rId="140150" sId="1" numFmtId="23">
    <oc r="E100" t="inlineStr">
      <is>
        <t>OVER</t>
      </is>
    </oc>
    <nc r="E100">
      <v>46167.84375</v>
    </nc>
  </rcc>
  <rcc rId="140151" sId="1">
    <oc r="F100" t="inlineStr">
      <is>
        <t>BOG-PUJ</t>
      </is>
    </oc>
    <nc r="F100" t="inlineStr">
      <is>
        <t>FRA-PUJ-FRA</t>
      </is>
    </nc>
  </rcc>
  <rcc rId="140152" sId="1">
    <oc r="B101" t="inlineStr">
      <is>
        <t>ARAJET</t>
      </is>
    </oc>
    <nc r="B101" t="inlineStr">
      <is>
        <t>AEROMEXICO</t>
      </is>
    </nc>
  </rcc>
  <rcc rId="140153" sId="1">
    <oc r="C101" t="inlineStr">
      <is>
        <t>DWI 5221</t>
      </is>
    </oc>
    <nc r="C101" t="inlineStr">
      <is>
        <t>AMX 9703/9704</t>
      </is>
    </nc>
  </rcc>
  <rcc rId="140154" sId="1" numFmtId="23">
    <oc r="D101">
      <v>46164.850694444445</v>
    </oc>
    <nc r="D101">
      <v>46167.770833333336</v>
    </nc>
  </rcc>
  <rcc rId="140155" sId="1" numFmtId="23">
    <oc r="E101" t="inlineStr">
      <is>
        <t>OVER</t>
      </is>
    </oc>
    <nc r="E101">
      <v>46171.375</v>
    </nc>
  </rcc>
  <rcc rId="140156" sId="1">
    <oc r="F101" t="inlineStr">
      <is>
        <t>SFB-PUJ</t>
      </is>
    </oc>
    <nc r="F101" t="inlineStr">
      <is>
        <t>NLU-PUJ-NLU</t>
      </is>
    </nc>
  </rcc>
  <rcc rId="140157" sId="1">
    <oc r="B102" t="inlineStr">
      <is>
        <t>ARAJET</t>
      </is>
    </oc>
    <nc r="B102" t="inlineStr">
      <is>
        <t>LAN PERU</t>
      </is>
    </nc>
  </rcc>
  <rcc rId="140158" sId="1">
    <oc r="C102" t="inlineStr">
      <is>
        <t>DWI 7003</t>
      </is>
    </oc>
    <nc r="C102" t="inlineStr">
      <is>
        <t>LPE 2450/2451</t>
      </is>
    </nc>
  </rcc>
  <rcc rId="140159" sId="1" numFmtId="23">
    <oc r="D102">
      <v>46164.875</v>
    </oc>
    <nc r="D102">
      <v>46167.770833333336</v>
    </nc>
  </rcc>
  <rcc rId="140160" sId="1" numFmtId="23">
    <oc r="E102" t="inlineStr">
      <is>
        <t>OVER</t>
      </is>
    </oc>
    <nc r="E102">
      <v>46167.815972222219</v>
    </nc>
  </rcc>
  <rcc rId="140161" sId="1">
    <oc r="F102" t="inlineStr">
      <is>
        <t>CUN-PUJ</t>
      </is>
    </oc>
    <nc r="F102" t="inlineStr">
      <is>
        <t>LIM-PUJ-LIM</t>
      </is>
    </nc>
  </rcc>
  <rcc rId="140162" sId="1">
    <nc r="B103" t="inlineStr">
      <is>
        <t>AIR EUROPA</t>
      </is>
    </nc>
  </rcc>
  <rcc rId="140163" sId="1">
    <nc r="C103" t="inlineStr">
      <is>
        <t>AEA 033/034</t>
      </is>
    </nc>
  </rcc>
  <rcc rId="140164" sId="1" numFmtId="23">
    <nc r="D103">
      <v>46167.78125</v>
    </nc>
  </rcc>
  <rcc rId="140165" sId="1" numFmtId="23">
    <nc r="E103">
      <v>46167.888888888891</v>
    </nc>
  </rcc>
  <rcc rId="140166" sId="1">
    <nc r="F103" t="inlineStr">
      <is>
        <t>MAD-PUJ-MAD</t>
      </is>
    </nc>
  </rcc>
  <rcc rId="140167" sId="1">
    <nc r="B104" t="inlineStr">
      <is>
        <t>IBEROJET PORTUGAL</t>
      </is>
    </nc>
  </rcc>
  <rcc rId="140168" sId="1">
    <nc r="C104" t="inlineStr">
      <is>
        <t>OBS 851/852</t>
      </is>
    </nc>
  </rcc>
  <rcc rId="140169" sId="1" numFmtId="23">
    <nc r="D104">
      <v>46167.784722222219</v>
    </nc>
  </rcc>
  <rcc rId="140170" sId="1" numFmtId="23">
    <nc r="E104">
      <v>46167.878472222219</v>
    </nc>
  </rcc>
  <rcc rId="140171" sId="1">
    <nc r="F104" t="inlineStr">
      <is>
        <t>LIS-PUJ-LIS</t>
      </is>
    </nc>
  </rcc>
  <rcc rId="140172" sId="1">
    <nc r="B105" t="inlineStr">
      <is>
        <t>WINGO</t>
      </is>
    </nc>
  </rcc>
  <rcc rId="140173" sId="1">
    <nc r="C105" t="inlineStr">
      <is>
        <t>RPB 7438/7439</t>
      </is>
    </nc>
  </rcc>
  <rcc rId="140174" sId="1" numFmtId="23">
    <nc r="D105">
      <v>46167.790972222225</v>
    </nc>
  </rcc>
  <rcc rId="140175" sId="1" numFmtId="23">
    <nc r="E105">
      <v>46167.822222222225</v>
    </nc>
  </rcc>
  <rcc rId="140176" sId="1">
    <nc r="F105" t="inlineStr">
      <is>
        <t>MDE-PUJ-MDE</t>
      </is>
    </nc>
  </rcc>
  <rcc rId="140177" sId="1">
    <nc r="B106" t="inlineStr">
      <is>
        <t>FRONTIER AIRLINES</t>
      </is>
    </nc>
  </rcc>
  <rcc rId="140178" sId="1">
    <nc r="C106" t="inlineStr">
      <is>
        <t>FFT 241/240</t>
      </is>
    </nc>
  </rcc>
  <rcc rId="140179" sId="1" numFmtId="23">
    <nc r="D106">
      <v>46167.84652777778</v>
    </nc>
  </rcc>
  <rcc rId="140180" sId="1" numFmtId="23">
    <nc r="E106">
      <v>46167.895138888889</v>
    </nc>
  </rcc>
  <rcc rId="140181" sId="1">
    <nc r="F106" t="inlineStr">
      <is>
        <t>SJU-PUJ-SJU</t>
      </is>
    </nc>
  </rcc>
  <rcc rId="140182" sId="1">
    <nc r="B107" t="inlineStr">
      <is>
        <t>ARAJET</t>
      </is>
    </nc>
  </rcc>
  <rcc rId="140183" sId="1">
    <nc r="C107" t="inlineStr">
      <is>
        <t>DWI 5101/6266</t>
      </is>
    </nc>
  </rcc>
  <rcc rId="140184" sId="1" numFmtId="23">
    <nc r="D107">
      <v>46167.895138888889</v>
    </nc>
  </rcc>
  <rcc rId="140185" sId="1" numFmtId="23">
    <nc r="E107">
      <v>46167.96875</v>
    </nc>
  </rcc>
  <rcc rId="140186" sId="1">
    <nc r="F107" t="inlineStr">
      <is>
        <t>MIA-PUJ-EZE</t>
      </is>
    </nc>
  </rcc>
  <rcc rId="140187" sId="1">
    <nc r="B108" t="inlineStr">
      <is>
        <t>ARAJET</t>
      </is>
    </nc>
  </rcc>
  <rcc rId="140188" sId="1">
    <nc r="C108" t="inlineStr">
      <is>
        <t>DWI 8001/1027</t>
      </is>
    </nc>
  </rcc>
  <rcc rId="140189" sId="1" numFmtId="23">
    <nc r="D108">
      <v>46167.916666666664</v>
    </nc>
  </rcc>
  <rcc rId="140190" sId="1" numFmtId="23">
    <nc r="E108">
      <v>46167.940972222219</v>
    </nc>
  </rcc>
  <rcc rId="140191" sId="1">
    <nc r="F108" t="inlineStr">
      <is>
        <t>GRU-PUJ-SDQ</t>
      </is>
    </nc>
  </rcc>
  <rcc rId="140192" sId="1">
    <nc r="B109" t="inlineStr">
      <is>
        <t>ARAJET</t>
      </is>
    </nc>
  </rcc>
  <rcc rId="140193" sId="1" numFmtId="23">
    <nc r="D109">
      <v>46167.918749999997</v>
    </nc>
  </rcc>
  <rcc rId="140194" sId="1">
    <nc r="F109" t="inlineStr">
      <is>
        <t>CUN-PUJ-EZE</t>
      </is>
    </nc>
  </rcc>
  <rcc rId="140195" sId="1">
    <nc r="B110" t="inlineStr">
      <is>
        <t>ARAJET</t>
      </is>
    </nc>
  </rcc>
  <rcc rId="140196" sId="1" numFmtId="23">
    <nc r="D110">
      <v>46167.981944444444</v>
    </nc>
  </rcc>
  <rcc rId="140197" sId="1">
    <nc r="F110" t="inlineStr">
      <is>
        <t>NLU-PUJ-GRU</t>
      </is>
    </nc>
  </rcc>
  <rcc rId="140198" sId="1" numFmtId="4">
    <nc r="A103">
      <v>101</v>
    </nc>
  </rcc>
  <rcc rId="140199" sId="1" numFmtId="4">
    <nc r="A104">
      <v>102</v>
    </nc>
  </rcc>
  <rcc rId="140200" sId="1" numFmtId="4">
    <nc r="A105">
      <v>103</v>
    </nc>
  </rcc>
  <rcc rId="140201" sId="1" numFmtId="4">
    <nc r="A106">
      <v>104</v>
    </nc>
  </rcc>
  <rcc rId="140202" sId="1" numFmtId="4">
    <nc r="A107">
      <v>105</v>
    </nc>
  </rcc>
  <rcc rId="140203" sId="1" numFmtId="4">
    <nc r="A108">
      <v>106</v>
    </nc>
  </rcc>
  <rcc rId="140204" sId="1" numFmtId="4">
    <nc r="A109">
      <v>107</v>
    </nc>
  </rcc>
  <rcc rId="140205" sId="1" numFmtId="4">
    <nc r="A110">
      <v>108</v>
    </nc>
  </rcc>
  <rcc rId="140206" sId="1">
    <oc r="G4" t="inlineStr">
      <is>
        <t>B733</t>
      </is>
    </oc>
    <nc r="G4" t="inlineStr">
      <is>
        <t>B38M</t>
      </is>
    </nc>
  </rcc>
  <rcc rId="140207" sId="1">
    <oc r="H4" t="inlineStr">
      <is>
        <t>CARIBE CARGO</t>
      </is>
    </oc>
    <nc r="H4" t="inlineStr">
      <is>
        <t>UNITED</t>
      </is>
    </nc>
  </rcc>
  <rcc rId="140208" sId="1">
    <oc r="M4" t="inlineStr">
      <is>
        <t>C1</t>
      </is>
    </oc>
    <nc r="M4" t="inlineStr">
      <is>
        <t>B26A</t>
      </is>
    </nc>
  </rcc>
  <rcc rId="140209" sId="1">
    <oc r="O4" t="inlineStr">
      <is>
        <t>CARGA</t>
      </is>
    </oc>
    <nc r="O4" t="inlineStr">
      <is>
        <t>B</t>
      </is>
    </nc>
  </rcc>
  <rcc rId="140210" sId="1">
    <oc r="G5" t="inlineStr">
      <is>
        <t>B38M</t>
      </is>
    </oc>
    <nc r="G5" t="inlineStr">
      <is>
        <t>B733</t>
      </is>
    </nc>
  </rcc>
  <rcc rId="140211" sId="1">
    <oc r="H5" t="inlineStr">
      <is>
        <t>A.A.G.</t>
      </is>
    </oc>
    <nc r="H5" t="inlineStr">
      <is>
        <t>CARIBE CARGO</t>
      </is>
    </nc>
  </rcc>
  <rcc rId="140212" sId="1">
    <oc r="M5" t="inlineStr">
      <is>
        <t>B20</t>
      </is>
    </oc>
    <nc r="M5" t="inlineStr">
      <is>
        <t>C1</t>
      </is>
    </nc>
  </rcc>
  <rcc rId="140213" sId="1">
    <oc r="O5" t="inlineStr">
      <is>
        <t>B</t>
      </is>
    </oc>
    <nc r="O5" t="inlineStr">
      <is>
        <t>CARGA</t>
      </is>
    </nc>
  </rcc>
  <rcc rId="140214" sId="1">
    <oc r="G6" t="inlineStr">
      <is>
        <t>B767</t>
      </is>
    </oc>
    <nc r="G6" t="inlineStr">
      <is>
        <t>A321</t>
      </is>
    </nc>
  </rcc>
  <rcc rId="140215" sId="1">
    <oc r="H6" t="inlineStr">
      <is>
        <t>CARIBE TRANS</t>
      </is>
    </oc>
    <nc r="H6" t="inlineStr">
      <is>
        <t>A.A.G.</t>
      </is>
    </nc>
  </rcc>
  <rcc rId="140216" sId="1">
    <oc r="I6" t="inlineStr">
      <is>
        <t>N/A</t>
      </is>
    </oc>
    <nc r="I6">
      <v>38</v>
    </nc>
  </rcc>
  <rcc rId="140217" sId="1">
    <oc r="K6" t="inlineStr">
      <is>
        <t>N/A</t>
      </is>
    </oc>
    <nc r="K6">
      <v>191</v>
    </nc>
  </rcc>
  <rcc rId="140218" sId="1">
    <oc r="L6" t="inlineStr">
      <is>
        <t>N/A</t>
      </is>
    </oc>
    <nc r="L6">
      <v>1</v>
    </nc>
  </rcc>
  <rcc rId="140219" sId="1">
    <oc r="M6" t="inlineStr">
      <is>
        <t>C2</t>
      </is>
    </oc>
    <nc r="M6" t="inlineStr">
      <is>
        <t>P7</t>
      </is>
    </nc>
  </rcc>
  <rcc rId="140220" sId="1">
    <oc r="N6" t="inlineStr">
      <is>
        <t>N/A</t>
      </is>
    </oc>
    <nc r="N6">
      <v>6</v>
    </nc>
  </rcc>
  <rcc rId="140221" sId="1">
    <oc r="O6" t="inlineStr">
      <is>
        <t>CARGA</t>
      </is>
    </oc>
    <nc r="O6" t="inlineStr">
      <is>
        <t>A</t>
      </is>
    </nc>
  </rcc>
  <rcc rId="140222" sId="1">
    <oc r="G7" t="inlineStr">
      <is>
        <t>A320</t>
      </is>
    </oc>
    <nc r="G7" t="inlineStr">
      <is>
        <t>B38M</t>
      </is>
    </nc>
  </rcc>
  <rcc rId="140223" sId="1">
    <oc r="H7" t="inlineStr">
      <is>
        <t>JETBLUE</t>
      </is>
    </oc>
    <nc r="H7" t="inlineStr">
      <is>
        <t>A.A.G.</t>
      </is>
    </nc>
  </rcc>
  <rcc rId="140224" sId="1">
    <oc r="L7">
      <v>2</v>
    </oc>
    <nc r="L7">
      <v>14</v>
    </nc>
  </rcc>
  <rcc rId="140225" sId="1">
    <oc r="M7" t="inlineStr">
      <is>
        <t>P10</t>
      </is>
    </oc>
    <nc r="M7" t="inlineStr">
      <is>
        <t>B20</t>
      </is>
    </nc>
  </rcc>
  <rcc rId="140226" sId="1">
    <oc r="N7">
      <v>13</v>
    </oc>
    <nc r="N7">
      <v>20</v>
    </nc>
  </rcc>
  <rcc rId="140227" sId="1">
    <oc r="O7" t="inlineStr">
      <is>
        <t>A</t>
      </is>
    </oc>
    <nc r="O7" t="inlineStr">
      <is>
        <t>B</t>
      </is>
    </nc>
  </rcc>
  <rcc rId="140228" sId="1">
    <oc r="G9" t="inlineStr">
      <is>
        <t>A320</t>
      </is>
    </oc>
    <nc r="G9" t="inlineStr">
      <is>
        <t>A319</t>
      </is>
    </nc>
  </rcc>
  <rcc rId="140229" sId="1">
    <oc r="H9" t="inlineStr">
      <is>
        <t>JETBLUE</t>
      </is>
    </oc>
    <nc r="H9" t="inlineStr">
      <is>
        <t>SERVAIR</t>
      </is>
    </nc>
  </rcc>
  <rcc rId="140230" sId="1">
    <oc r="I9">
      <v>162</v>
    </oc>
    <nc r="I9">
      <v>160</v>
    </nc>
  </rcc>
  <rcc rId="140231" sId="1">
    <oc r="K9">
      <v>79</v>
    </oc>
    <nc r="K9">
      <v>160</v>
    </nc>
  </rcc>
  <rcc rId="140232" sId="1">
    <oc r="L9">
      <v>3</v>
    </oc>
    <nc r="L9">
      <v>2</v>
    </nc>
  </rcc>
  <rcc rId="140233" sId="1">
    <oc r="M9" t="inlineStr">
      <is>
        <t>P11</t>
      </is>
    </oc>
    <nc r="M9" t="inlineStr">
      <is>
        <t>P6</t>
      </is>
    </nc>
  </rcc>
  <rcc rId="140234" sId="1">
    <oc r="N9">
      <v>15</v>
    </oc>
    <nc r="N9">
      <v>1</v>
    </nc>
  </rcc>
  <rcc rId="140235" sId="1">
    <oc r="I10">
      <v>200</v>
    </oc>
    <nc r="I10">
      <v>94</v>
    </nc>
  </rcc>
  <rcc rId="140236" sId="1">
    <oc r="K10">
      <v>74</v>
    </oc>
    <nc r="K10">
      <v>161</v>
    </nc>
  </rcc>
  <rcc rId="140237" sId="1">
    <oc r="M10" t="inlineStr">
      <is>
        <t>P9</t>
      </is>
    </oc>
    <nc r="M10" t="inlineStr">
      <is>
        <t>P11</t>
      </is>
    </nc>
  </rcc>
  <rcc rId="140238" sId="1">
    <oc r="N10">
      <v>11</v>
    </oc>
    <nc r="N10">
      <v>15</v>
    </nc>
  </rcc>
  <rcc rId="140239" sId="1">
    <oc r="I11">
      <v>174</v>
    </oc>
    <nc r="I11">
      <v>142</v>
    </nc>
  </rcc>
  <rcc rId="140240" sId="1">
    <oc r="J11">
      <v>59</v>
    </oc>
    <nc r="J11">
      <v>3</v>
    </nc>
  </rcc>
  <rcc rId="140241" sId="1">
    <oc r="K11" t="inlineStr">
      <is>
        <t>N/A</t>
      </is>
    </oc>
    <nc r="K11">
      <v>150</v>
    </nc>
  </rcc>
  <rcc rId="140242" sId="1">
    <oc r="M11" t="inlineStr">
      <is>
        <t>B21</t>
      </is>
    </oc>
    <nc r="M11" t="inlineStr">
      <is>
        <t>B25</t>
      </is>
    </nc>
  </rcc>
  <rcc rId="140243" sId="1">
    <oc r="N11">
      <v>21</v>
    </oc>
    <nc r="N11">
      <v>25</v>
    </nc>
  </rcc>
  <rcc rId="140244" sId="1">
    <oc r="G12" t="inlineStr">
      <is>
        <t>A321</t>
      </is>
    </oc>
    <nc r="G12" t="inlineStr">
      <is>
        <t>A320</t>
      </is>
    </nc>
  </rcc>
  <rcc rId="140245" sId="1">
    <oc r="H12" t="inlineStr">
      <is>
        <t>CARIPORTS</t>
      </is>
    </oc>
    <nc r="H12" t="inlineStr">
      <is>
        <t>JETBLUE</t>
      </is>
    </nc>
  </rcc>
  <rcc rId="140246" sId="1">
    <oc r="I12">
      <v>213</v>
    </oc>
    <nc r="I12">
      <v>92</v>
    </nc>
  </rcc>
  <rcc rId="140247" sId="1">
    <oc r="K12">
      <v>43</v>
    </oc>
    <nc r="K12">
      <v>162</v>
    </nc>
  </rcc>
  <rcc rId="140248" sId="1">
    <oc r="L12">
      <v>2</v>
    </oc>
    <nc r="L12">
      <v>3</v>
    </nc>
  </rcc>
  <rcc rId="140249" sId="1">
    <oc r="M12" t="inlineStr">
      <is>
        <t>P7</t>
      </is>
    </oc>
    <nc r="M12" t="inlineStr">
      <is>
        <t>P10</t>
      </is>
    </nc>
  </rcc>
  <rcc rId="140250" sId="1">
    <oc r="N12">
      <v>6</v>
    </oc>
    <nc r="N12">
      <v>13</v>
    </nc>
  </rcc>
  <rcc rId="140251" sId="1">
    <oc r="G13" t="inlineStr">
      <is>
        <t>A321</t>
      </is>
    </oc>
    <nc r="G13" t="inlineStr">
      <is>
        <t>A320</t>
      </is>
    </nc>
  </rcc>
  <rcc rId="140252" sId="1">
    <oc r="H13" t="inlineStr">
      <is>
        <t>CARIPORTS</t>
      </is>
    </oc>
    <nc r="H13" t="inlineStr">
      <is>
        <t>JETBLUE</t>
      </is>
    </nc>
  </rcc>
  <rcc rId="140253" sId="1">
    <oc r="I13">
      <v>235</v>
    </oc>
    <nc r="I13">
      <v>200</v>
    </nc>
  </rcc>
  <rcc rId="140254" sId="1">
    <oc r="K13">
      <v>123</v>
    </oc>
    <nc r="K13">
      <v>200</v>
    </nc>
  </rcc>
  <rcc rId="140255" sId="1">
    <oc r="L13">
      <v>3</v>
    </oc>
    <nc r="L13">
      <v>5</v>
    </nc>
  </rcc>
  <rcc rId="140256" sId="1">
    <oc r="M13" t="inlineStr">
      <is>
        <t>P6</t>
      </is>
    </oc>
    <nc r="M13" t="inlineStr">
      <is>
        <t>P9</t>
      </is>
    </nc>
  </rcc>
  <rcc rId="140257" sId="1">
    <oc r="N13">
      <v>4</v>
    </oc>
    <nc r="N13">
      <v>11</v>
    </nc>
  </rcc>
  <rcc rId="140258" sId="1">
    <oc r="G14" t="inlineStr">
      <is>
        <t>A220</t>
      </is>
    </oc>
    <nc r="G14" t="inlineStr">
      <is>
        <t>A20N</t>
      </is>
    </nc>
  </rcc>
  <rcc rId="140259" sId="1">
    <oc r="H14" t="inlineStr">
      <is>
        <t>JETBLUE</t>
      </is>
    </oc>
    <nc r="H14" t="inlineStr">
      <is>
        <t>CARIPORTS</t>
      </is>
    </nc>
  </rcc>
  <rcc rId="140260" sId="1">
    <oc r="I14">
      <v>162</v>
    </oc>
    <nc r="I14">
      <v>126</v>
    </nc>
  </rcc>
  <rcc rId="140261" sId="1">
    <oc r="K14">
      <v>143</v>
    </oc>
    <nc r="K14">
      <v>181</v>
    </nc>
  </rcc>
  <rcc rId="140262" sId="1">
    <oc r="L14">
      <v>5</v>
    </oc>
    <nc r="L14">
      <v>2</v>
    </nc>
  </rcc>
  <rcc rId="140263" sId="1">
    <oc r="M14" t="inlineStr">
      <is>
        <t>P11</t>
      </is>
    </oc>
    <nc r="M14" t="inlineStr">
      <is>
        <t>P8</t>
      </is>
    </nc>
  </rcc>
  <rcc rId="140264" sId="1">
    <oc r="N14">
      <v>16</v>
    </oc>
    <nc r="N14">
      <v>8</v>
    </nc>
  </rcc>
  <rcc rId="140265" sId="1">
    <oc r="G15" t="inlineStr">
      <is>
        <t>B737</t>
      </is>
    </oc>
    <nc r="G15" t="inlineStr">
      <is>
        <t>A321</t>
      </is>
    </nc>
  </rcc>
  <rcc rId="140266" sId="1">
    <oc r="H15" t="inlineStr">
      <is>
        <t>A.A.G.</t>
      </is>
    </oc>
    <nc r="H15" t="inlineStr">
      <is>
        <t>CARIPORTS</t>
      </is>
    </nc>
  </rcc>
  <rcc rId="140267" sId="1">
    <oc r="I15">
      <v>169</v>
    </oc>
    <nc r="I15">
      <v>214</v>
    </nc>
  </rcc>
  <rcc rId="140268" sId="1">
    <oc r="K15">
      <v>162</v>
    </oc>
    <nc r="K15">
      <v>181</v>
    </nc>
  </rcc>
  <rcc rId="140269" sId="1">
    <oc r="L15">
      <v>11</v>
    </oc>
    <nc r="L15">
      <v>3</v>
    </nc>
  </rcc>
  <rcc rId="140270" sId="1">
    <oc r="M15" t="inlineStr">
      <is>
        <t>B26A</t>
      </is>
    </oc>
    <nc r="M15" t="inlineStr">
      <is>
        <t>P7</t>
      </is>
    </nc>
  </rcc>
  <rcc rId="140271" sId="1">
    <oc r="N15">
      <v>26</v>
    </oc>
    <nc r="N15">
      <v>6</v>
    </nc>
  </rcc>
  <rcc rId="140272" sId="1">
    <oc r="O15" t="inlineStr">
      <is>
        <t>B</t>
      </is>
    </oc>
    <nc r="O15" t="inlineStr">
      <is>
        <t>A</t>
      </is>
    </nc>
  </rcc>
  <rcc rId="140273" sId="1">
    <oc r="H16" t="inlineStr">
      <is>
        <t>ENVOY</t>
      </is>
    </oc>
    <nc r="H16" t="inlineStr">
      <is>
        <t>JETBLUE</t>
      </is>
    </nc>
  </rcc>
  <rcc rId="140274" sId="1">
    <oc r="I16">
      <v>185</v>
    </oc>
    <nc r="I16">
      <v>140</v>
    </nc>
  </rcc>
  <rcc rId="140275" sId="1">
    <oc r="K16">
      <v>167</v>
    </oc>
    <nc r="K16">
      <v>140</v>
    </nc>
  </rcc>
  <rcc rId="140276" sId="1">
    <oc r="L16">
      <v>15</v>
    </oc>
    <nc r="L16">
      <v>6</v>
    </nc>
  </rcc>
  <rcc rId="140277" sId="1">
    <oc r="M16" t="inlineStr">
      <is>
        <t>B27</t>
      </is>
    </oc>
    <nc r="M16" t="inlineStr">
      <is>
        <t>P11</t>
      </is>
    </nc>
  </rcc>
  <rcc rId="140278" sId="1">
    <oc r="N16">
      <v>27</v>
    </oc>
    <nc r="N16">
      <v>16</v>
    </nc>
  </rcc>
  <rcc rId="140279" sId="1">
    <oc r="O16" t="inlineStr">
      <is>
        <t>B</t>
      </is>
    </oc>
    <nc r="O16" t="inlineStr">
      <is>
        <t>A</t>
      </is>
    </nc>
  </rcc>
  <rcc rId="140280" sId="1">
    <oc r="G17" t="inlineStr">
      <is>
        <t>B738</t>
      </is>
    </oc>
    <nc r="G17" t="inlineStr">
      <is>
        <t>B737</t>
      </is>
    </nc>
  </rcc>
  <rcc rId="140281" sId="1">
    <oc r="H17" t="inlineStr">
      <is>
        <t>ENVOY</t>
      </is>
    </oc>
    <nc r="H17" t="inlineStr">
      <is>
        <t>A.A.G.</t>
      </is>
    </nc>
  </rcc>
  <rcc rId="140282" sId="1">
    <oc r="I17">
      <v>158</v>
    </oc>
    <nc r="I17">
      <v>183</v>
    </nc>
  </rcc>
  <rcc rId="140283" sId="1">
    <oc r="K17">
      <v>152</v>
    </oc>
    <nc r="K17">
      <v>162</v>
    </nc>
  </rcc>
  <rcc rId="140284" sId="1">
    <oc r="L17">
      <v>15</v>
    </oc>
    <nc r="L17">
      <v>11</v>
    </nc>
  </rcc>
  <rcc rId="140285" sId="1">
    <oc r="M17" t="inlineStr">
      <is>
        <t>B28</t>
      </is>
    </oc>
    <nc r="M17" t="inlineStr">
      <is>
        <t>B20</t>
      </is>
    </nc>
  </rcc>
  <rcc rId="140286" sId="1">
    <oc r="N17">
      <v>28</v>
    </oc>
    <nc r="N17">
      <v>20</v>
    </nc>
  </rcc>
  <rcc rId="140287" sId="1">
    <oc r="H18" t="inlineStr">
      <is>
        <t>JETBLUE</t>
      </is>
    </oc>
    <nc r="H18" t="inlineStr">
      <is>
        <t>ENVOY</t>
      </is>
    </nc>
  </rcc>
  <rcc rId="140288" sId="1">
    <oc r="I18">
      <v>200</v>
    </oc>
    <nc r="I18">
      <v>190</v>
    </nc>
  </rcc>
  <rcc rId="140289" sId="1">
    <oc r="K18">
      <v>178</v>
    </oc>
    <nc r="K18">
      <v>187</v>
    </nc>
  </rcc>
  <rcc rId="140290" sId="1">
    <oc r="L18">
      <v>1</v>
    </oc>
    <nc r="L18">
      <v>15</v>
    </nc>
  </rcc>
  <rcc rId="140291" sId="1">
    <oc r="M18" t="inlineStr">
      <is>
        <t>P10</t>
      </is>
    </oc>
    <nc r="M18" t="inlineStr">
      <is>
        <t>B31</t>
      </is>
    </nc>
  </rcc>
  <rcc rId="140292" sId="1">
    <oc r="N18">
      <v>13</v>
    </oc>
    <nc r="N18">
      <v>31</v>
    </nc>
  </rcc>
  <rcc rId="140293" sId="1">
    <oc r="O18" t="inlineStr">
      <is>
        <t>A</t>
      </is>
    </oc>
    <nc r="O18" t="inlineStr">
      <is>
        <t>B</t>
      </is>
    </nc>
  </rcc>
  <rcc rId="140294" sId="1">
    <oc r="G19" t="inlineStr">
      <is>
        <t>A321</t>
      </is>
    </oc>
    <nc r="G19" t="inlineStr">
      <is>
        <t>B738</t>
      </is>
    </nc>
  </rcc>
  <rcc rId="140295" sId="1">
    <oc r="I19">
      <v>190</v>
    </oc>
    <nc r="I19">
      <v>164</v>
    </nc>
  </rcc>
  <rcc rId="140296" sId="1">
    <oc r="K19">
      <v>156</v>
    </oc>
    <nc r="K19">
      <v>172</v>
    </nc>
  </rcc>
  <rcc rId="140297" sId="1">
    <oc r="L19">
      <v>18</v>
    </oc>
    <nc r="L19">
      <v>15</v>
    </nc>
  </rcc>
  <rcc rId="140298" sId="1">
    <oc r="M19" t="inlineStr">
      <is>
        <t>B30</t>
      </is>
    </oc>
    <nc r="M19" t="inlineStr">
      <is>
        <t>B28</t>
      </is>
    </nc>
  </rcc>
  <rcc rId="140299" sId="1">
    <oc r="N19">
      <v>30</v>
    </oc>
    <nc r="N19">
      <v>28</v>
    </nc>
  </rcc>
  <rcc rId="140300" sId="1">
    <oc r="H20" t="inlineStr">
      <is>
        <t>CARIPORTS</t>
      </is>
    </oc>
    <nc r="H20" t="inlineStr">
      <is>
        <t>JETBLUE</t>
      </is>
    </nc>
  </rcc>
  <rcc rId="140301" sId="1">
    <oc r="I20">
      <v>230</v>
    </oc>
    <nc r="I20">
      <v>197</v>
    </nc>
  </rcc>
  <rcc rId="140302" sId="1">
    <oc r="K20">
      <v>70</v>
    </oc>
    <nc r="K20">
      <v>200</v>
    </nc>
  </rcc>
  <rcc rId="140303" sId="1">
    <oc r="L20">
      <v>6</v>
    </oc>
    <nc r="L20">
      <v>2</v>
    </nc>
  </rcc>
  <rcc rId="140304" sId="1">
    <oc r="M20" t="inlineStr">
      <is>
        <t>P5</t>
      </is>
    </oc>
    <nc r="M20" t="inlineStr">
      <is>
        <t>P10</t>
      </is>
    </nc>
  </rcc>
  <rcc rId="140305" sId="1">
    <oc r="N20">
      <v>1</v>
    </oc>
    <nc r="N20">
      <v>13</v>
    </nc>
  </rcc>
  <rcc rId="140306" sId="1">
    <oc r="G21" t="inlineStr">
      <is>
        <t>B737</t>
      </is>
    </oc>
    <nc r="G21" t="inlineStr">
      <is>
        <t>A321</t>
      </is>
    </nc>
  </rcc>
  <rcc rId="140307" sId="1">
    <oc r="H21" t="inlineStr">
      <is>
        <t>A.A.G.</t>
      </is>
    </oc>
    <nc r="H21" t="inlineStr">
      <is>
        <t>ENVOY</t>
      </is>
    </nc>
  </rcc>
  <rcc rId="140308" sId="1">
    <oc r="I21">
      <v>153</v>
    </oc>
    <nc r="I21">
      <v>127</v>
    </nc>
  </rcc>
  <rcc rId="140309" sId="1">
    <oc r="K21">
      <v>144</v>
    </oc>
    <nc r="K21">
      <v>187</v>
    </nc>
  </rcc>
  <rcc rId="140310" sId="1">
    <oc r="L21">
      <v>12</v>
    </oc>
    <nc r="L21">
      <v>16</v>
    </nc>
  </rcc>
  <rcc rId="140311" sId="1">
    <oc r="M21" t="inlineStr">
      <is>
        <t>B24</t>
      </is>
    </oc>
    <nc r="M21" t="inlineStr">
      <is>
        <t>B32</t>
      </is>
    </nc>
  </rcc>
  <rcc rId="140312" sId="1">
    <oc r="N21">
      <v>24</v>
    </oc>
    <nc r="N21">
      <v>32</v>
    </nc>
  </rcc>
  <rcc rId="140313" sId="1">
    <oc r="G22" t="inlineStr">
      <is>
        <t>B38M</t>
      </is>
    </oc>
    <nc r="G22" t="inlineStr">
      <is>
        <t>A321</t>
      </is>
    </nc>
  </rcc>
  <rcc rId="140314" sId="1">
    <oc r="H22" t="inlineStr">
      <is>
        <t>A.A.G.</t>
      </is>
    </oc>
    <nc r="H22" t="inlineStr">
      <is>
        <t>CARIPORTS</t>
      </is>
    </nc>
  </rcc>
  <rcc rId="140315" sId="1">
    <oc r="I22">
      <v>152</v>
    </oc>
    <nc r="I22">
      <v>72</v>
    </nc>
  </rcc>
  <rcc rId="140316" sId="1">
    <oc r="K22">
      <v>175</v>
    </oc>
    <nc r="K22">
      <v>237</v>
    </nc>
  </rcc>
  <rcc rId="140317" sId="1">
    <oc r="L22">
      <v>13</v>
    </oc>
    <nc r="L22">
      <v>1</v>
    </nc>
  </rcc>
  <rcc rId="140318" sId="1">
    <oc r="M22" t="inlineStr">
      <is>
        <t>B23B</t>
      </is>
    </oc>
    <nc r="M22" t="inlineStr">
      <is>
        <t>P6</t>
      </is>
    </nc>
  </rcc>
  <rcc rId="140319" sId="1">
    <oc r="N22">
      <v>23</v>
    </oc>
    <nc r="N22">
      <v>4</v>
    </nc>
  </rcc>
  <rcc rId="140320" sId="1">
    <oc r="O22" t="inlineStr">
      <is>
        <t>B</t>
      </is>
    </oc>
    <nc r="O22" t="inlineStr">
      <is>
        <t>A</t>
      </is>
    </nc>
  </rcc>
  <rcc rId="140321" sId="1">
    <oc r="G23" t="inlineStr">
      <is>
        <t>B738</t>
      </is>
    </oc>
    <nc r="G23" t="inlineStr">
      <is>
        <t>B737</t>
      </is>
    </nc>
  </rcc>
  <rcc rId="140322" sId="1">
    <oc r="H23" t="inlineStr">
      <is>
        <t>ENVOY</t>
      </is>
    </oc>
    <nc r="H23" t="inlineStr">
      <is>
        <t>A.A.G.</t>
      </is>
    </nc>
  </rcc>
  <rcc rId="140323" sId="1">
    <oc r="I23">
      <v>172</v>
    </oc>
    <nc r="I23">
      <v>180</v>
    </nc>
  </rcc>
  <rcc rId="140324" sId="1">
    <oc r="K23">
      <v>129</v>
    </oc>
    <nc r="K23">
      <v>164</v>
    </nc>
  </rcc>
  <rcc rId="140325" sId="1">
    <oc r="L23">
      <v>17</v>
    </oc>
    <nc r="L23">
      <v>11</v>
    </nc>
  </rcc>
  <rcc rId="140326" sId="1">
    <oc r="M23" t="inlineStr">
      <is>
        <t>B32</t>
      </is>
    </oc>
    <nc r="M23" t="inlineStr">
      <is>
        <t>B24</t>
      </is>
    </nc>
  </rcc>
  <rcc rId="140327" sId="1">
    <oc r="N23">
      <v>32</v>
    </oc>
    <nc r="N23">
      <v>24</v>
    </nc>
  </rcc>
  <rcc rId="140328" sId="1">
    <oc r="G24" t="inlineStr">
      <is>
        <t>B38M</t>
      </is>
    </oc>
    <nc r="G24" t="inlineStr">
      <is>
        <t>B738</t>
      </is>
    </nc>
  </rcc>
  <rcc rId="140329" sId="1">
    <oc r="H24" t="inlineStr">
      <is>
        <t>A.A.G.</t>
      </is>
    </oc>
    <nc r="H24" t="inlineStr">
      <is>
        <t>ENVOY</t>
      </is>
    </nc>
  </rcc>
  <rcc rId="140330" sId="1">
    <oc r="I24">
      <v>144</v>
    </oc>
    <nc r="I24">
      <v>156</v>
    </nc>
  </rcc>
  <rcc rId="140331" sId="1">
    <oc r="K24">
      <v>116</v>
    </oc>
    <nc r="K24">
      <v>173</v>
    </nc>
  </rcc>
  <rcc rId="140332" sId="1">
    <oc r="L24">
      <v>11</v>
    </oc>
    <nc r="L24">
      <v>17</v>
    </nc>
  </rcc>
  <rcc rId="140333" sId="1">
    <oc r="M24" t="inlineStr">
      <is>
        <t>B25</t>
      </is>
    </oc>
    <nc r="M24" t="inlineStr">
      <is>
        <t>B27</t>
      </is>
    </nc>
  </rcc>
  <rcc rId="140334" sId="1">
    <oc r="N24">
      <v>25</v>
    </oc>
    <nc r="N24">
      <v>27</v>
    </nc>
  </rcc>
  <rcc rId="140335" sId="1">
    <oc r="I25">
      <v>128</v>
    </oc>
    <nc r="I25">
      <v>177</v>
    </nc>
  </rcc>
  <rcc rId="140336" sId="1">
    <oc r="J25">
      <v>28</v>
    </oc>
    <nc r="J25">
      <v>18</v>
    </nc>
  </rcc>
  <rcc rId="140337" sId="1">
    <oc r="K25">
      <v>165</v>
    </oc>
    <nc r="K25">
      <v>150</v>
    </nc>
  </rcc>
  <rcc rId="140338" sId="1">
    <oc r="L25">
      <v>11</v>
    </oc>
    <nc r="L25">
      <v>12</v>
    </nc>
  </rcc>
  <rcc rId="140339" sId="1">
    <oc r="M25" t="inlineStr">
      <is>
        <t>B36</t>
      </is>
    </oc>
    <nc r="M25" t="inlineStr">
      <is>
        <t>B22</t>
      </is>
    </nc>
  </rcc>
  <rcc rId="140340" sId="1">
    <oc r="N25" t="inlineStr">
      <is>
        <t>26F</t>
      </is>
    </oc>
    <nc r="N25">
      <v>22</v>
    </nc>
  </rcc>
  <rcc rId="140341" sId="1">
    <oc r="I26">
      <v>165</v>
    </oc>
    <nc r="I26">
      <v>173</v>
    </nc>
  </rcc>
  <rcc rId="140342" sId="1">
    <oc r="K26">
      <v>158</v>
    </oc>
    <nc r="K26">
      <v>179</v>
    </nc>
  </rcc>
  <rcc rId="140343" sId="1">
    <oc r="L26">
      <v>5</v>
    </oc>
    <nc r="L26">
      <v>1</v>
    </nc>
  </rcc>
  <rcc rId="140344" sId="1">
    <oc r="M26" t="inlineStr">
      <is>
        <t>P8A</t>
      </is>
    </oc>
    <nc r="M26" t="inlineStr">
      <is>
        <t>P5</t>
      </is>
    </nc>
  </rcc>
  <rcc rId="140345" sId="1">
    <oc r="N26">
      <v>7</v>
    </oc>
    <nc r="N26">
      <v>3</v>
    </nc>
  </rcc>
  <rcc rId="140346" sId="1">
    <oc r="J27">
      <v>7</v>
    </oc>
    <nc r="J27">
      <v>12</v>
    </nc>
  </rcc>
  <rcc rId="140347" sId="1">
    <oc r="K27">
      <v>148</v>
    </oc>
    <nc r="K27">
      <v>182</v>
    </nc>
  </rcc>
  <rcc rId="140348" sId="1">
    <oc r="M27" t="inlineStr">
      <is>
        <t>P29</t>
      </is>
    </oc>
    <nc r="M27" t="inlineStr">
      <is>
        <t>B21</t>
      </is>
    </nc>
  </rcc>
  <rcc rId="140349" sId="1">
    <oc r="N27" t="inlineStr">
      <is>
        <t>26C</t>
      </is>
    </oc>
    <nc r="N27">
      <v>21</v>
    </nc>
  </rcc>
  <rcc rId="140350" sId="1">
    <oc r="G28" t="inlineStr">
      <is>
        <t>A321</t>
      </is>
    </oc>
    <nc r="G28" t="inlineStr">
      <is>
        <t>MD82</t>
      </is>
    </nc>
  </rcc>
  <rcc rId="140351" sId="1">
    <oc r="H28" t="inlineStr">
      <is>
        <t>SERVAIR</t>
      </is>
    </oc>
    <nc r="H28" t="inlineStr">
      <is>
        <t>A.A.G.</t>
      </is>
    </nc>
  </rcc>
  <rcc rId="140352" sId="1">
    <oc r="M28" t="inlineStr">
      <is>
        <t>B31</t>
      </is>
    </oc>
    <nc r="M28" t="inlineStr">
      <is>
        <t>N5</t>
      </is>
    </nc>
  </rcc>
  <rcc rId="140353" sId="1">
    <oc r="O28" t="inlineStr">
      <is>
        <t>B</t>
      </is>
    </oc>
    <nc r="O28" t="inlineStr">
      <is>
        <t>A</t>
      </is>
    </nc>
  </rcc>
  <rcc rId="140354" sId="1">
    <oc r="I29">
      <v>98</v>
    </oc>
    <nc r="I29">
      <v>147</v>
    </nc>
  </rcc>
  <rcc rId="140355" sId="1">
    <oc r="K29">
      <v>144</v>
    </oc>
    <nc r="K29">
      <v>166</v>
    </nc>
  </rcc>
  <rcc rId="140356" sId="1">
    <oc r="L29">
      <v>12</v>
    </oc>
    <nc r="L29">
      <v>13</v>
    </nc>
  </rcc>
  <rcc rId="140357" sId="1">
    <oc r="G30" t="inlineStr">
      <is>
        <t>A320</t>
      </is>
    </oc>
    <nc r="G30" t="inlineStr">
      <is>
        <t>A321</t>
      </is>
    </nc>
  </rcc>
  <rcc rId="140358" sId="1">
    <oc r="H30" t="inlineStr">
      <is>
        <t>TRADING AVIATION</t>
      </is>
    </oc>
    <nc r="H30" t="inlineStr">
      <is>
        <t>SERVAIR</t>
      </is>
    </nc>
  </rcc>
  <rcc rId="140359" sId="1">
    <oc r="I30">
      <v>154</v>
    </oc>
    <nc r="I30">
      <v>181</v>
    </nc>
  </rcc>
  <rcc rId="140360" sId="1">
    <oc r="K30">
      <v>175</v>
    </oc>
    <nc r="K30">
      <v>185</v>
    </nc>
  </rcc>
  <rcc rId="140361" sId="1">
    <oc r="L30">
      <v>5</v>
    </oc>
    <nc r="L30">
      <v>18</v>
    </nc>
  </rcc>
  <rcc rId="140362" sId="1">
    <oc r="M30" t="inlineStr">
      <is>
        <t>P11</t>
      </is>
    </oc>
    <nc r="M30" t="inlineStr">
      <is>
        <t>B30</t>
      </is>
    </nc>
  </rcc>
  <rcc rId="140363" sId="1">
    <oc r="N30">
      <v>15</v>
    </oc>
    <nc r="N30">
      <v>30</v>
    </nc>
  </rcc>
  <rcc rId="140364" sId="1">
    <oc r="O30" t="inlineStr">
      <is>
        <t>A</t>
      </is>
    </oc>
    <nc r="O30" t="inlineStr">
      <is>
        <t>B</t>
      </is>
    </nc>
  </rcc>
  <rcc rId="140365" sId="1">
    <oc r="I31">
      <v>172</v>
    </oc>
    <nc r="I31">
      <v>178</v>
    </nc>
  </rcc>
  <rcc rId="140366" sId="1">
    <oc r="K31">
      <v>154</v>
    </oc>
    <nc r="K31">
      <v>158</v>
    </nc>
  </rcc>
  <rcc rId="140367" sId="1">
    <oc r="M31" t="inlineStr">
      <is>
        <t>B20</t>
      </is>
    </oc>
    <nc r="M31" t="inlineStr">
      <is>
        <t>B26A</t>
      </is>
    </nc>
  </rcc>
  <rcc rId="140368" sId="1">
    <oc r="N31">
      <v>20</v>
    </oc>
    <nc r="N31">
      <v>26</v>
    </nc>
  </rcc>
  <rcc rId="140369" sId="1">
    <oc r="I32">
      <v>160</v>
    </oc>
    <nc r="I32">
      <v>167</v>
    </nc>
  </rcc>
  <rcc rId="140370" sId="1">
    <oc r="K32">
      <v>168</v>
    </oc>
    <nc r="K32">
      <v>174</v>
    </nc>
  </rcc>
  <rcc rId="140371" sId="1">
    <oc r="L32">
      <v>3</v>
    </oc>
    <nc r="L32">
      <v>2</v>
    </nc>
  </rcc>
  <rcc rId="140372" sId="1">
    <oc r="N32">
      <v>5</v>
    </oc>
    <nc r="N32">
      <v>1</v>
    </nc>
  </rcc>
  <rcc rId="140373" sId="1">
    <oc r="G33" t="inlineStr">
      <is>
        <t>B38M</t>
      </is>
    </oc>
    <nc r="G33" t="inlineStr">
      <is>
        <t>A319</t>
      </is>
    </nc>
  </rcc>
  <rcc rId="140374" sId="1">
    <oc r="H33" t="inlineStr">
      <is>
        <t>A.A.G.</t>
      </is>
    </oc>
    <nc r="H33" t="inlineStr">
      <is>
        <t>CARIPORTS</t>
      </is>
    </nc>
  </rcc>
  <rcc rId="140375" sId="1">
    <oc r="I33">
      <v>147</v>
    </oc>
    <nc r="I33">
      <v>118</v>
    </nc>
  </rcc>
  <rcc rId="140376" sId="1">
    <oc r="K33">
      <v>105</v>
    </oc>
    <nc r="K33">
      <v>131</v>
    </nc>
  </rcc>
  <rcc rId="140377" sId="1">
    <oc r="L33">
      <v>11</v>
    </oc>
    <nc r="L33">
      <v>3</v>
    </nc>
  </rcc>
  <rcc rId="140378" sId="1">
    <oc r="M33" t="inlineStr">
      <is>
        <t>B23A</t>
      </is>
    </oc>
    <nc r="M33" t="inlineStr">
      <is>
        <t>P9</t>
      </is>
    </nc>
  </rcc>
  <rcc rId="140379" sId="1">
    <oc r="N33" t="inlineStr">
      <is>
        <t>26C</t>
      </is>
    </oc>
    <nc r="N33">
      <v>12</v>
    </nc>
  </rcc>
  <rcc rId="140380" sId="1">
    <oc r="O33" t="inlineStr">
      <is>
        <t>B</t>
      </is>
    </oc>
    <nc r="O33" t="inlineStr">
      <is>
        <t>A</t>
      </is>
    </nc>
  </rcc>
  <rcc rId="140381" sId="1">
    <oc r="G34" t="inlineStr">
      <is>
        <t>A320</t>
      </is>
    </oc>
    <nc r="G34" t="inlineStr">
      <is>
        <t>B38M</t>
      </is>
    </nc>
  </rcc>
  <rcc rId="140382" sId="1">
    <oc r="H34" t="inlineStr">
      <is>
        <t>JETBLUE</t>
      </is>
    </oc>
    <nc r="H34" t="inlineStr">
      <is>
        <t>A.A.G.</t>
      </is>
    </nc>
  </rcc>
  <rcc rId="140383" sId="1">
    <oc r="I34">
      <v>162</v>
    </oc>
    <nc r="I34">
      <v>153</v>
    </nc>
  </rcc>
  <rcc rId="140384" sId="1">
    <oc r="J34" t="inlineStr">
      <is>
        <t>N/A</t>
      </is>
    </oc>
    <nc r="J34">
      <v>5</v>
    </nc>
  </rcc>
  <rcc rId="140385" sId="1">
    <oc r="K34">
      <v>140</v>
    </oc>
    <nc r="K34">
      <v>142</v>
    </nc>
  </rcc>
  <rcc rId="140386" sId="1">
    <oc r="L34">
      <v>2</v>
    </oc>
    <nc r="L34">
      <v>12</v>
    </nc>
  </rcc>
  <rcc rId="140387" sId="1">
    <oc r="M34" t="inlineStr">
      <is>
        <t>P9</t>
      </is>
    </oc>
    <nc r="M34" t="inlineStr">
      <is>
        <t>B22</t>
      </is>
    </nc>
  </rcc>
  <rcc rId="140388" sId="1">
    <oc r="N34">
      <v>11</v>
    </oc>
    <nc r="N34">
      <v>22</v>
    </nc>
  </rcc>
  <rcc rId="140389" sId="1">
    <oc r="O34" t="inlineStr">
      <is>
        <t>A</t>
      </is>
    </oc>
    <nc r="O34" t="inlineStr">
      <is>
        <t>B</t>
      </is>
    </nc>
  </rcc>
  <rcc rId="140390" sId="1">
    <oc r="G35" t="inlineStr">
      <is>
        <t>B789</t>
      </is>
    </oc>
    <nc r="G35" t="inlineStr">
      <is>
        <t>A321</t>
      </is>
    </nc>
  </rcc>
  <rcc rId="140391" sId="1">
    <oc r="H35" t="inlineStr">
      <is>
        <t>E.T HEINSEN</t>
      </is>
    </oc>
    <nc r="H35" t="inlineStr">
      <is>
        <t>JETBLUE</t>
      </is>
    </nc>
  </rcc>
  <rcc rId="140392" sId="1">
    <oc r="I35">
      <v>253</v>
    </oc>
    <nc r="I35">
      <v>199</v>
    </nc>
  </rcc>
  <rcc rId="140393" sId="1">
    <oc r="K35">
      <v>277</v>
    </oc>
    <nc r="K35">
      <v>197</v>
    </nc>
  </rcc>
  <rcc rId="140394" sId="1">
    <oc r="L35">
      <v>1</v>
    </oc>
    <nc r="L35">
      <v>6</v>
    </nc>
  </rcc>
  <rcc rId="140395" sId="1">
    <oc r="M35" t="inlineStr">
      <is>
        <t>P7</t>
      </is>
    </oc>
    <nc r="M35" t="inlineStr">
      <is>
        <t>P11</t>
      </is>
    </nc>
  </rcc>
  <rcc rId="140396" sId="1">
    <oc r="N35">
      <v>12</v>
    </oc>
    <nc r="N35">
      <v>15</v>
    </nc>
  </rcc>
  <rcc rId="140397" sId="1">
    <oc r="K36">
      <v>89</v>
    </oc>
    <nc r="K36">
      <v>154</v>
    </nc>
  </rcc>
  <rcc rId="140398" sId="1">
    <oc r="M36" t="inlineStr">
      <is>
        <t>P6</t>
      </is>
    </oc>
    <nc r="M36" t="inlineStr">
      <is>
        <t>P8</t>
      </is>
    </nc>
  </rcc>
  <rcc rId="140399" sId="1">
    <oc r="I37">
      <v>166</v>
    </oc>
    <nc r="I37">
      <v>160</v>
    </nc>
  </rcc>
  <rcc rId="140400" sId="1">
    <oc r="K37">
      <v>142</v>
    </oc>
    <nc r="K37">
      <v>162</v>
    </nc>
  </rcc>
  <rcc rId="140401" sId="1">
    <oc r="L37">
      <v>13</v>
    </oc>
    <nc r="L37">
      <v>11</v>
    </nc>
  </rcc>
  <rcc rId="140402" sId="1">
    <oc r="M37" t="inlineStr">
      <is>
        <t>B26A</t>
      </is>
    </oc>
    <nc r="M37" t="inlineStr">
      <is>
        <t>B23B</t>
      </is>
    </nc>
  </rcc>
  <rcc rId="140403" sId="1">
    <oc r="N37">
      <v>26</v>
    </oc>
    <nc r="N37">
      <v>23</v>
    </nc>
  </rcc>
  <rcc rId="140404" sId="1">
    <oc r="G38" t="inlineStr">
      <is>
        <t>A320</t>
      </is>
    </oc>
    <nc r="G38" t="inlineStr">
      <is>
        <t>B738</t>
      </is>
    </nc>
  </rcc>
  <rcc rId="140405" sId="1">
    <oc r="H38" t="inlineStr">
      <is>
        <t>SERVAIR</t>
      </is>
    </oc>
    <nc r="H38" t="inlineStr">
      <is>
        <t>A.A.G.</t>
      </is>
    </nc>
  </rcc>
  <rcc rId="140406" sId="1">
    <oc r="I38">
      <v>193</v>
    </oc>
    <nc r="I38">
      <v>172</v>
    </nc>
  </rcc>
  <rcc rId="140407" sId="1">
    <oc r="K38">
      <v>179</v>
    </oc>
    <nc r="K38">
      <v>160</v>
    </nc>
  </rcc>
  <rcc rId="140408" sId="1">
    <oc r="L38">
      <v>17</v>
    </oc>
    <nc r="L38">
      <v>11</v>
    </nc>
  </rcc>
  <rcc rId="140409" sId="1">
    <oc r="M38" t="inlineStr">
      <is>
        <t>B32</t>
      </is>
    </oc>
    <nc r="M38" t="inlineStr">
      <is>
        <t>B20</t>
      </is>
    </nc>
  </rcc>
  <rcc rId="140410" sId="1">
    <oc r="N38">
      <v>32</v>
    </oc>
    <nc r="N38">
      <v>20</v>
    </nc>
  </rcc>
  <rcc rId="140411" sId="1">
    <oc r="H39" t="inlineStr">
      <is>
        <t>JETBLUE</t>
      </is>
    </oc>
    <nc r="H39" t="inlineStr">
      <is>
        <t>SERVAIR</t>
      </is>
    </nc>
  </rcc>
  <rcc rId="140412" sId="1">
    <oc r="I39">
      <v>162</v>
    </oc>
    <nc r="I39">
      <v>179</v>
    </nc>
  </rcc>
  <rcc rId="140413" sId="1">
    <oc r="K39">
      <v>37</v>
    </oc>
    <nc r="K39">
      <v>189</v>
    </nc>
  </rcc>
  <rcc rId="140414" sId="1">
    <oc r="L39">
      <v>5</v>
    </oc>
    <nc r="L39">
      <v>15</v>
    </nc>
  </rcc>
  <rcc rId="140415" sId="1">
    <oc r="M39" t="inlineStr">
      <is>
        <t>P10</t>
      </is>
    </oc>
    <nc r="M39" t="inlineStr">
      <is>
        <t>B31</t>
      </is>
    </nc>
  </rcc>
  <rcc rId="140416" sId="1">
    <oc r="N39">
      <v>14</v>
    </oc>
    <nc r="N39">
      <v>31</v>
    </nc>
  </rcc>
  <rcc rId="140417" sId="1">
    <oc r="O39" t="inlineStr">
      <is>
        <t>A</t>
      </is>
    </oc>
    <nc r="O39" t="inlineStr">
      <is>
        <t>B</t>
      </is>
    </nc>
  </rcc>
  <rcc rId="140418" sId="1">
    <oc r="G40" t="inlineStr">
      <is>
        <t>B38M</t>
      </is>
    </oc>
    <nc r="G40" t="inlineStr">
      <is>
        <t>A320</t>
      </is>
    </nc>
  </rcc>
  <rcc rId="140419" sId="1">
    <oc r="H40" t="inlineStr">
      <is>
        <t>SERVAIR</t>
      </is>
    </oc>
    <nc r="H40" t="inlineStr">
      <is>
        <t>JETBLUE</t>
      </is>
    </nc>
  </rcc>
  <rcc rId="140420" sId="1">
    <oc r="I40">
      <v>64</v>
    </oc>
    <nc r="I40">
      <v>148</v>
    </nc>
  </rcc>
  <rcc rId="140421" sId="1">
    <oc r="K40">
      <v>69</v>
    </oc>
    <nc r="K40">
      <v>162</v>
    </nc>
  </rcc>
  <rcc rId="140422" sId="1">
    <oc r="L40">
      <v>3</v>
    </oc>
    <nc r="L40">
      <v>5</v>
    </nc>
  </rcc>
  <rcc rId="140423" sId="1">
    <oc r="M40" t="inlineStr">
      <is>
        <t>P2</t>
      </is>
    </oc>
    <nc r="M40" t="inlineStr">
      <is>
        <t>P10</t>
      </is>
    </nc>
  </rcc>
  <rcc rId="140424" sId="1">
    <oc r="N40">
      <v>2</v>
    </oc>
    <nc r="N40">
      <v>13</v>
    </nc>
  </rcc>
  <rcc rId="140425" sId="1">
    <oc r="I41">
      <v>180</v>
    </oc>
    <nc r="I41">
      <v>166</v>
    </nc>
  </rcc>
  <rcc rId="140426" sId="1">
    <oc r="K41">
      <v>147</v>
    </oc>
    <nc r="K41">
      <v>175</v>
    </nc>
  </rcc>
  <rcc rId="140427" sId="1">
    <oc r="L41">
      <v>11</v>
    </oc>
    <nc r="L41">
      <v>13</v>
    </nc>
  </rcc>
  <rcc rId="140428" sId="1">
    <oc r="M41" t="inlineStr">
      <is>
        <t>B24</t>
      </is>
    </oc>
    <nc r="M41" t="inlineStr">
      <is>
        <t>B25</t>
      </is>
    </nc>
  </rcc>
  <rcc rId="140429" sId="1">
    <oc r="N41">
      <v>24</v>
    </oc>
    <nc r="N41">
      <v>25</v>
    </nc>
  </rcc>
  <rcc rId="140430" sId="1">
    <oc r="G42" t="inlineStr">
      <is>
        <t>B38M</t>
      </is>
    </oc>
    <nc r="G42" t="inlineStr">
      <is>
        <t>B39M</t>
      </is>
    </nc>
  </rcc>
  <rcc rId="140431" sId="1">
    <oc r="H42" t="inlineStr">
      <is>
        <t>SERVAIR</t>
      </is>
    </oc>
    <nc r="H42" t="inlineStr">
      <is>
        <t>UNITED</t>
      </is>
    </nc>
  </rcc>
  <rcc rId="140432" sId="1">
    <oc r="I42">
      <v>83</v>
    </oc>
    <nc r="I42">
      <v>178</v>
    </nc>
  </rcc>
  <rcc rId="140433" sId="1">
    <oc r="K42">
      <v>73</v>
    </oc>
    <nc r="K42">
      <v>168</v>
    </nc>
  </rcc>
  <rcc rId="140434" sId="1">
    <oc r="L42">
      <v>2</v>
    </oc>
    <nc r="L42">
      <v>12</v>
    </nc>
  </rcc>
  <rcc rId="140435" sId="1">
    <oc r="M42" t="inlineStr">
      <is>
        <t>P5</t>
      </is>
    </oc>
    <nc r="M42" t="inlineStr">
      <is>
        <t>B23A</t>
      </is>
    </nc>
  </rcc>
  <rcc rId="140436" sId="1">
    <oc r="N42">
      <v>4</v>
    </oc>
    <nc r="N42" t="inlineStr">
      <is>
        <t>26C</t>
      </is>
    </nc>
  </rcc>
  <rcc rId="140437" sId="1">
    <oc r="O42" t="inlineStr">
      <is>
        <t>A</t>
      </is>
    </oc>
    <nc r="O42" t="inlineStr">
      <is>
        <t>B</t>
      </is>
    </nc>
  </rcc>
  <rcc rId="140438" sId="1">
    <oc r="G43" t="inlineStr">
      <is>
        <t>B39M</t>
      </is>
    </oc>
    <nc r="G43" t="inlineStr">
      <is>
        <t>B38M</t>
      </is>
    </nc>
  </rcc>
  <rcc rId="140439" sId="1">
    <oc r="H43" t="inlineStr">
      <is>
        <t>UNITED</t>
      </is>
    </oc>
    <nc r="H43" t="inlineStr">
      <is>
        <t>SERVAIR</t>
      </is>
    </nc>
  </rcc>
  <rcc rId="140440" sId="1">
    <oc r="I43">
      <v>179</v>
    </oc>
    <nc r="I43">
      <v>173</v>
    </nc>
  </rcc>
  <rcc rId="140441" sId="1">
    <oc r="K43">
      <v>171</v>
    </oc>
    <nc r="K43">
      <v>174</v>
    </nc>
  </rcc>
  <rcc rId="140442" sId="1">
    <oc r="L43">
      <v>15</v>
    </oc>
    <nc r="L43">
      <v>2</v>
    </nc>
  </rcc>
  <rcc rId="140443" sId="1">
    <oc r="M43" t="inlineStr">
      <is>
        <t>B30</t>
      </is>
    </oc>
    <nc r="M43" t="inlineStr">
      <is>
        <t>P7</t>
      </is>
    </nc>
  </rcc>
  <rcc rId="140444" sId="1">
    <oc r="N43">
      <v>30</v>
    </oc>
    <nc r="N43">
      <v>6</v>
    </nc>
  </rcc>
  <rcc rId="140445" sId="1">
    <oc r="O43" t="inlineStr">
      <is>
        <t>B</t>
      </is>
    </oc>
    <nc r="O43" t="inlineStr">
      <is>
        <t>A</t>
      </is>
    </nc>
  </rcc>
  <rcc rId="140446" sId="1">
    <oc r="I44">
      <v>167</v>
    </oc>
    <nc r="I44">
      <v>178</v>
    </nc>
  </rcc>
  <rcc rId="140447" sId="1">
    <oc r="K44">
      <v>155</v>
    </oc>
    <nc r="K44">
      <v>159</v>
    </nc>
  </rcc>
  <rcc rId="140448" sId="1">
    <oc r="L44">
      <v>12</v>
    </oc>
    <nc r="L44">
      <v>13</v>
    </nc>
  </rcc>
  <rcc rId="140449" sId="1">
    <oc r="M44" t="inlineStr">
      <is>
        <t>B20</t>
      </is>
    </oc>
    <nc r="M44" t="inlineStr">
      <is>
        <t>B24</t>
      </is>
    </nc>
  </rcc>
  <rcc rId="140450" sId="1">
    <oc r="N44">
      <v>20</v>
    </oc>
    <nc r="N44">
      <v>24</v>
    </nc>
  </rcc>
  <rcc rId="140451" sId="1">
    <oc r="K45">
      <v>183</v>
    </oc>
    <nc r="K45">
      <v>189</v>
    </nc>
  </rcc>
  <rcc rId="140452" sId="1">
    <oc r="L45">
      <v>15</v>
    </oc>
    <nc r="L45">
      <v>17</v>
    </nc>
  </rcc>
  <rcc rId="140453" sId="1">
    <oc r="M45" t="inlineStr">
      <is>
        <t>B27</t>
      </is>
    </oc>
    <nc r="M45" t="inlineStr">
      <is>
        <t>B28</t>
      </is>
    </nc>
  </rcc>
  <rcc rId="140454" sId="1">
    <oc r="N45">
      <v>27</v>
    </oc>
    <nc r="N45">
      <v>28</v>
    </nc>
  </rcc>
  <rcc rId="140455" sId="1">
    <oc r="I46">
      <v>172</v>
    </oc>
    <nc r="I46">
      <v>167</v>
    </nc>
  </rcc>
  <rcc rId="140456" sId="1">
    <oc r="K46">
      <v>128</v>
    </oc>
    <nc r="K46">
      <v>173</v>
    </nc>
  </rcc>
  <rcc rId="140457" sId="1">
    <oc r="L46">
      <v>18</v>
    </oc>
    <nc r="L46">
      <v>16</v>
    </nc>
  </rcc>
  <rcc rId="140458" sId="1">
    <oc r="M46" t="inlineStr">
      <is>
        <t>B28</t>
      </is>
    </oc>
    <nc r="M46" t="inlineStr">
      <is>
        <t>B27</t>
      </is>
    </nc>
  </rcc>
  <rcc rId="140459" sId="1">
    <oc r="N46">
      <v>28</v>
    </oc>
    <nc r="N46">
      <v>27</v>
    </nc>
  </rcc>
  <rcc rId="140460" sId="1">
    <oc r="G47" t="inlineStr">
      <is>
        <t>B737</t>
      </is>
    </oc>
    <nc r="G47" t="inlineStr">
      <is>
        <t>B38M</t>
      </is>
    </nc>
  </rcc>
  <rcc rId="140461" sId="1">
    <oc r="H47" t="inlineStr">
      <is>
        <t>SERVAIR</t>
      </is>
    </oc>
    <nc r="H47" t="inlineStr">
      <is>
        <t>A.A.G.</t>
      </is>
    </nc>
  </rcc>
  <rcc rId="140462" sId="1">
    <oc r="I47">
      <v>186</v>
    </oc>
    <nc r="I47">
      <v>121</v>
    </nc>
  </rcc>
  <rcc rId="140463" sId="1">
    <oc r="K47">
      <v>186</v>
    </oc>
    <nc r="K47">
      <v>153</v>
    </nc>
  </rcc>
  <rcc rId="140464" sId="1">
    <oc r="L47">
      <v>5</v>
    </oc>
    <nc r="L47">
      <v>12</v>
    </nc>
  </rcc>
  <rcc rId="140465" sId="1">
    <oc r="M47" t="inlineStr">
      <is>
        <t>P11</t>
      </is>
    </oc>
    <nc r="M47" t="inlineStr">
      <is>
        <t>N10</t>
      </is>
    </nc>
  </rcc>
  <rcc rId="140466" sId="1">
    <oc r="N47">
      <v>16</v>
    </oc>
    <nc r="N47" t="inlineStr">
      <is>
        <t>26F</t>
      </is>
    </nc>
  </rcc>
  <rcc rId="140467" sId="1">
    <oc r="O47" t="inlineStr">
      <is>
        <t>A</t>
      </is>
    </oc>
    <nc r="O47" t="inlineStr">
      <is>
        <t>B</t>
      </is>
    </nc>
  </rcc>
  <rcc rId="140468" sId="1">
    <oc r="G48" t="inlineStr">
      <is>
        <t>B737</t>
      </is>
    </oc>
    <nc r="G48" t="inlineStr">
      <is>
        <t>A20N</t>
      </is>
    </nc>
  </rcc>
  <rcc rId="140469" sId="1">
    <oc r="H48" t="inlineStr">
      <is>
        <t>TRADING AVIATION</t>
      </is>
    </oc>
    <nc r="H48" t="inlineStr">
      <is>
        <t>CARIPORTS</t>
      </is>
    </nc>
  </rcc>
  <rcc rId="140470" sId="1">
    <oc r="K48">
      <v>153</v>
    </oc>
    <nc r="K48">
      <v>174</v>
    </nc>
  </rcc>
  <rcc rId="140471" sId="1">
    <oc r="M48" t="inlineStr">
      <is>
        <t>B21</t>
      </is>
    </oc>
    <nc r="M48" t="inlineStr">
      <is>
        <t>P2</t>
      </is>
    </nc>
  </rcc>
  <rcc rId="140472" sId="1">
    <oc r="N48">
      <v>21</v>
    </oc>
    <nc r="N48">
      <v>2</v>
    </nc>
  </rcc>
  <rcc rId="140473" sId="1">
    <oc r="O48" t="inlineStr">
      <is>
        <t>B</t>
      </is>
    </oc>
    <nc r="O48" t="inlineStr">
      <is>
        <t>A</t>
      </is>
    </nc>
  </rcc>
  <rcc rId="140474" sId="1">
    <oc r="G49" t="inlineStr">
      <is>
        <t>A330</t>
      </is>
    </oc>
    <nc r="G49" t="inlineStr">
      <is>
        <t>A320</t>
      </is>
    </nc>
  </rcc>
  <rcc rId="140475" sId="1">
    <oc r="H49" t="inlineStr">
      <is>
        <t>A.A.G.</t>
      </is>
    </oc>
    <nc r="H49" t="inlineStr">
      <is>
        <t>TRADING AVIATION</t>
      </is>
    </nc>
  </rcc>
  <rcc rId="140476" sId="1">
    <oc r="I49">
      <v>324</v>
    </oc>
    <nc r="I49">
      <v>181</v>
    </nc>
  </rcc>
  <rcc rId="140477" sId="1">
    <oc r="K49">
      <v>318</v>
    </oc>
    <nc r="K49">
      <v>186</v>
    </nc>
  </rcc>
  <rcc rId="140478" sId="1">
    <oc r="L49">
      <v>1</v>
    </oc>
    <nc r="L49">
      <v>3</v>
    </nc>
  </rcc>
  <rcc rId="140479" sId="1">
    <oc r="M49" t="inlineStr">
      <is>
        <t>P4</t>
      </is>
    </oc>
    <nc r="M49" t="inlineStr">
      <is>
        <t>P9</t>
      </is>
    </nc>
  </rcc>
  <rcc rId="140480" sId="1">
    <oc r="N49">
      <v>6</v>
    </oc>
    <nc r="N49">
      <v>11</v>
    </nc>
  </rcc>
  <rcc rId="140481" sId="1">
    <oc r="G50" t="inlineStr">
      <is>
        <t>A321</t>
      </is>
    </oc>
    <nc r="G50" t="inlineStr">
      <is>
        <t>A319</t>
      </is>
    </nc>
  </rcc>
  <rcc rId="140482" sId="1">
    <oc r="I50">
      <v>191</v>
    </oc>
    <nc r="I50">
      <v>160</v>
    </nc>
  </rcc>
  <rcc rId="140483" sId="1">
    <oc r="K50">
      <v>173</v>
    </oc>
    <nc r="K50">
      <v>160</v>
    </nc>
  </rcc>
  <rcc rId="140484" sId="1">
    <oc r="L50">
      <v>17</v>
    </oc>
    <nc r="L50">
      <v>1</v>
    </nc>
  </rcc>
  <rcc rId="140485" sId="1">
    <oc r="M50" t="inlineStr">
      <is>
        <t>B31</t>
      </is>
    </oc>
    <nc r="M50" t="inlineStr">
      <is>
        <t>P3</t>
      </is>
    </nc>
  </rcc>
  <rcc rId="140486" sId="1">
    <oc r="N50">
      <v>31</v>
    </oc>
    <nc r="N50">
      <v>4</v>
    </nc>
  </rcc>
  <rcc rId="140487" sId="1">
    <oc r="O50" t="inlineStr">
      <is>
        <t>B</t>
      </is>
    </oc>
    <nc r="O50" t="inlineStr">
      <is>
        <t>A</t>
      </is>
    </nc>
  </rcc>
  <rcc rId="140488" sId="1">
    <oc r="G51" t="inlineStr">
      <is>
        <t>A320</t>
      </is>
    </oc>
    <nc r="G51" t="inlineStr">
      <is>
        <t>B737</t>
      </is>
    </nc>
  </rcc>
  <rcc rId="140489" sId="1">
    <oc r="H51" t="inlineStr">
      <is>
        <t>JETBLUE</t>
      </is>
    </oc>
    <nc r="H51" t="inlineStr">
      <is>
        <t>TRADING AVIATION</t>
      </is>
    </nc>
  </rcc>
  <rcc rId="140490" sId="1">
    <oc r="I51">
      <v>162</v>
    </oc>
    <nc r="I51">
      <v>170</v>
    </nc>
  </rcc>
  <rcc rId="140491" sId="1">
    <oc r="K51">
      <v>146</v>
    </oc>
    <nc r="K51">
      <v>173</v>
    </nc>
  </rcc>
  <rcc rId="140492" sId="1">
    <oc r="L51">
      <v>2</v>
    </oc>
    <nc r="L51">
      <v>11</v>
    </nc>
  </rcc>
  <rcc rId="140493" sId="1">
    <oc r="M51" t="inlineStr">
      <is>
        <t>P9</t>
      </is>
    </oc>
    <nc r="M51" t="inlineStr">
      <is>
        <t>B26A</t>
      </is>
    </nc>
  </rcc>
  <rcc rId="140494" sId="1">
    <oc r="N51">
      <v>11</v>
    </oc>
    <nc r="N51">
      <v>26</v>
    </nc>
  </rcc>
  <rcc rId="140495" sId="1">
    <oc r="O51" t="inlineStr">
      <is>
        <t>A</t>
      </is>
    </oc>
    <nc r="O51" t="inlineStr">
      <is>
        <t>B</t>
      </is>
    </nc>
  </rcc>
  <rcc rId="140496" sId="1">
    <oc r="G52" t="inlineStr">
      <is>
        <t>A330</t>
      </is>
    </oc>
    <nc r="G52" t="inlineStr">
      <is>
        <t>B38M</t>
      </is>
    </nc>
  </rcc>
  <rcc rId="140497" sId="1">
    <oc r="I52">
      <v>127</v>
    </oc>
    <nc r="I52">
      <v>158</v>
    </nc>
  </rcc>
  <rcc rId="140498" sId="1">
    <oc r="J52" t="inlineStr">
      <is>
        <t>N/A</t>
      </is>
    </oc>
    <nc r="J52">
      <v>2</v>
    </nc>
  </rcc>
  <rcc rId="140499" sId="1">
    <oc r="K52">
      <v>331</v>
    </oc>
    <nc r="K52">
      <v>142</v>
    </nc>
  </rcc>
  <rcc rId="140500" sId="1">
    <oc r="L52">
      <v>5</v>
    </oc>
    <nc r="L52">
      <v>12</v>
    </nc>
  </rcc>
  <rcc rId="140501" sId="1">
    <oc r="M52" t="inlineStr">
      <is>
        <t>P3</t>
      </is>
    </oc>
    <nc r="M52" t="inlineStr">
      <is>
        <t>B21</t>
      </is>
    </nc>
  </rcc>
  <rcc rId="140502" sId="1">
    <oc r="N52">
      <v>1</v>
    </oc>
    <nc r="N52">
      <v>21</v>
    </nc>
  </rcc>
  <rcc rId="140503" sId="1">
    <oc r="O52" t="inlineStr">
      <is>
        <t>A</t>
      </is>
    </oc>
    <nc r="O52" t="inlineStr">
      <is>
        <t>B</t>
      </is>
    </nc>
  </rcc>
  <rcc rId="140504" sId="1">
    <oc r="G53" t="inlineStr">
      <is>
        <t>A320</t>
      </is>
    </oc>
    <nc r="G53" t="inlineStr">
      <is>
        <t>B38M</t>
      </is>
    </nc>
  </rcc>
  <rcc rId="140505" sId="1">
    <oc r="H53" t="inlineStr">
      <is>
        <t>JETBLUE</t>
      </is>
    </oc>
    <nc r="H53" t="inlineStr">
      <is>
        <t>A.A.G.</t>
      </is>
    </nc>
  </rcc>
  <rcc rId="140506" sId="1">
    <oc r="I53">
      <v>162</v>
    </oc>
    <nc r="I53">
      <v>150</v>
    </nc>
  </rcc>
  <rcc rId="140507" sId="1">
    <oc r="J53" t="inlineStr">
      <is>
        <t>N/A</t>
      </is>
    </oc>
    <nc r="J53">
      <v>9</v>
    </nc>
  </rcc>
  <rcc rId="140508" sId="1">
    <oc r="K53">
      <v>121</v>
    </oc>
    <nc r="K53">
      <v>190</v>
    </nc>
  </rcc>
  <rcc rId="140509" sId="1">
    <oc r="L53">
      <v>2</v>
    </oc>
    <nc r="L53">
      <v>11</v>
    </nc>
  </rcc>
  <rcc rId="140510" sId="1">
    <oc r="M53" t="inlineStr">
      <is>
        <t>P10</t>
      </is>
    </oc>
    <nc r="M53" t="inlineStr">
      <is>
        <t>P29</t>
      </is>
    </nc>
  </rcc>
  <rcc rId="140511" sId="1">
    <oc r="N53">
      <v>13</v>
    </oc>
    <nc r="N53" t="inlineStr">
      <is>
        <t>26D</t>
      </is>
    </nc>
  </rcc>
  <rcc rId="140512" sId="1">
    <oc r="O53" t="inlineStr">
      <is>
        <t>A</t>
      </is>
    </oc>
    <nc r="O53" t="inlineStr">
      <is>
        <t>B</t>
      </is>
    </nc>
  </rcc>
  <rcc rId="140513" sId="1">
    <oc r="H54" t="inlineStr">
      <is>
        <t>CARIPORTS</t>
      </is>
    </oc>
    <nc r="H54" t="inlineStr">
      <is>
        <t>A.A.G.</t>
      </is>
    </nc>
  </rcc>
  <rcc rId="140514" sId="1">
    <oc r="I54">
      <v>182</v>
    </oc>
    <nc r="I54">
      <v>188</v>
    </nc>
  </rcc>
  <rcc rId="140515" sId="1">
    <oc r="K54">
      <v>193</v>
    </oc>
    <nc r="K54">
      <v>187</v>
    </nc>
  </rcc>
  <rcc rId="140516" sId="1">
    <oc r="L54">
      <v>3</v>
    </oc>
    <nc r="L54">
      <v>1</v>
    </nc>
  </rcc>
  <rcc rId="140517" sId="1">
    <oc r="M54" t="inlineStr">
      <is>
        <t>P11</t>
      </is>
    </oc>
    <nc r="M54" t="inlineStr">
      <is>
        <t>P5</t>
      </is>
    </nc>
  </rcc>
  <rcc rId="140518" sId="1">
    <oc r="N54">
      <v>15</v>
    </oc>
    <nc r="N54">
      <v>1</v>
    </nc>
  </rcc>
  <rcc rId="140519" sId="1">
    <oc r="G55" t="inlineStr">
      <is>
        <t>A320</t>
      </is>
    </oc>
    <nc r="G55" t="inlineStr">
      <is>
        <t>A321</t>
      </is>
    </nc>
  </rcc>
  <rcc rId="140520" sId="1">
    <oc r="H55" t="inlineStr">
      <is>
        <t>JETBLUE</t>
      </is>
    </oc>
    <nc r="H55" t="inlineStr">
      <is>
        <t>SERVAIR</t>
      </is>
    </nc>
  </rcc>
  <rcc rId="140521" sId="1">
    <oc r="I55">
      <v>162</v>
    </oc>
    <nc r="I55">
      <v>182</v>
    </nc>
  </rcc>
  <rcc rId="140522" sId="1">
    <oc r="K55">
      <v>152</v>
    </oc>
    <nc r="K55">
      <v>184</v>
    </nc>
  </rcc>
  <rcc rId="140523" sId="1">
    <oc r="L55">
      <v>3</v>
    </oc>
    <nc r="L55">
      <v>14</v>
    </nc>
  </rcc>
  <rcc rId="140524" sId="1">
    <oc r="M55" t="inlineStr">
      <is>
        <t>P6</t>
      </is>
    </oc>
    <nc r="M55" t="inlineStr">
      <is>
        <t>B32</t>
      </is>
    </nc>
  </rcc>
  <rcc rId="140525" sId="1">
    <oc r="N55">
      <v>9</v>
    </oc>
    <nc r="N55">
      <v>32</v>
    </nc>
  </rcc>
  <rcc rId="140526" sId="1">
    <oc r="O55" t="inlineStr">
      <is>
        <t>A</t>
      </is>
    </oc>
    <nc r="O55" t="inlineStr">
      <is>
        <t>B</t>
      </is>
    </nc>
  </rcc>
  <rcc rId="140527" sId="1">
    <oc r="G56" t="inlineStr">
      <is>
        <t>B737</t>
      </is>
    </oc>
    <nc r="G56" t="inlineStr">
      <is>
        <t>B38M</t>
      </is>
    </nc>
  </rcc>
  <rcc rId="140528" sId="1">
    <oc r="I56">
      <v>172</v>
    </oc>
    <nc r="I56">
      <v>142</v>
    </nc>
  </rcc>
  <rcc rId="140529" sId="1">
    <oc r="K56">
      <v>158</v>
    </oc>
    <nc r="K56">
      <v>177</v>
    </nc>
  </rcc>
  <rcc rId="140530" sId="1">
    <oc r="L56">
      <v>12</v>
    </oc>
    <nc r="L56">
      <v>11</v>
    </nc>
  </rcc>
  <rcc rId="140531" sId="1">
    <oc r="M56" t="inlineStr">
      <is>
        <t>B26A</t>
      </is>
    </oc>
    <nc r="M56" t="inlineStr">
      <is>
        <t>B20</t>
      </is>
    </nc>
  </rcc>
  <rcc rId="140532" sId="1">
    <oc r="N56">
      <v>26</v>
    </oc>
    <nc r="N56">
      <v>20</v>
    </nc>
  </rcc>
  <rcc rId="140533" sId="1">
    <oc r="G57" t="inlineStr">
      <is>
        <t>A321</t>
      </is>
    </oc>
    <nc r="G57" t="inlineStr">
      <is>
        <t>A320</t>
      </is>
    </nc>
  </rcc>
  <rcc rId="140534" sId="1">
    <oc r="H57" t="inlineStr">
      <is>
        <t>ENVOY</t>
      </is>
    </oc>
    <nc r="H57" t="inlineStr">
      <is>
        <t>JETBLUE</t>
      </is>
    </nc>
  </rcc>
  <rcc rId="140535" sId="1">
    <oc r="I57">
      <v>180</v>
    </oc>
    <nc r="I57">
      <v>162</v>
    </nc>
  </rcc>
  <rcc rId="140536" sId="1">
    <oc r="K57">
      <v>165</v>
    </oc>
    <nc r="K57">
      <v>159</v>
    </nc>
  </rcc>
  <rcc rId="140537" sId="1">
    <oc r="L57">
      <v>15</v>
    </oc>
    <nc r="L57">
      <v>6</v>
    </nc>
  </rcc>
  <rcc rId="140538" sId="1">
    <oc r="M57" t="inlineStr">
      <is>
        <t>B28</t>
      </is>
    </oc>
    <nc r="M57" t="inlineStr">
      <is>
        <t>P11</t>
      </is>
    </nc>
  </rcc>
  <rcc rId="140539" sId="1">
    <oc r="N57">
      <v>28</v>
    </oc>
    <nc r="N57">
      <v>16</v>
    </nc>
  </rcc>
  <rcc rId="140540" sId="1">
    <oc r="O57" t="inlineStr">
      <is>
        <t>B</t>
      </is>
    </oc>
    <nc r="O57" t="inlineStr">
      <is>
        <t>A</t>
      </is>
    </nc>
  </rcc>
  <rcc rId="140541" sId="1">
    <oc r="G58" t="inlineStr">
      <is>
        <t>A20N</t>
      </is>
    </oc>
    <nc r="G58" t="inlineStr">
      <is>
        <t>A320</t>
      </is>
    </nc>
  </rcc>
  <rcc rId="140542" sId="1">
    <oc r="H58" t="inlineStr">
      <is>
        <t>CARIPORTS</t>
      </is>
    </oc>
    <nc r="H58" t="inlineStr">
      <is>
        <t>JETBLUE</t>
      </is>
    </nc>
  </rcc>
  <rcc rId="140543" sId="1">
    <oc r="I58">
      <v>234</v>
    </oc>
    <nc r="I58">
      <v>157</v>
    </nc>
  </rcc>
  <rcc rId="140544" sId="1">
    <oc r="K58">
      <v>38</v>
    </oc>
    <nc r="K58">
      <v>162</v>
    </nc>
  </rcc>
  <rcc rId="140545" sId="1">
    <oc r="L58">
      <v>6</v>
    </oc>
    <nc r="L58">
      <v>2</v>
    </nc>
  </rcc>
  <rcc rId="140546" sId="1">
    <oc r="M58" t="inlineStr">
      <is>
        <t>P5</t>
      </is>
    </oc>
    <nc r="M58" t="inlineStr">
      <is>
        <t>P8A</t>
      </is>
    </nc>
  </rcc>
  <rcc rId="140547" sId="1">
    <oc r="N58">
      <v>4</v>
    </oc>
    <nc r="N58">
      <v>9</v>
    </nc>
  </rcc>
  <rcc rId="140548" sId="1">
    <oc r="G59" t="inlineStr">
      <is>
        <t>B39M</t>
      </is>
    </oc>
    <nc r="G59" t="inlineStr">
      <is>
        <t>A321</t>
      </is>
    </nc>
  </rcc>
  <rcc rId="140549" sId="1">
    <oc r="H59" t="inlineStr">
      <is>
        <t>UNITED</t>
      </is>
    </oc>
    <nc r="H59" t="inlineStr">
      <is>
        <t>A.A.G.</t>
      </is>
    </nc>
  </rcc>
  <rcc rId="140550" sId="1">
    <oc r="I59">
      <v>179</v>
    </oc>
    <nc r="I59">
      <v>193</v>
    </nc>
  </rcc>
  <rcc rId="140551" sId="1">
    <oc r="K59">
      <v>168</v>
    </oc>
    <nc r="K59">
      <v>190</v>
    </nc>
  </rcc>
  <rcc rId="140552" sId="1">
    <oc r="L59">
      <v>11</v>
    </oc>
    <nc r="L59">
      <v>3</v>
    </nc>
  </rcc>
  <rcc rId="140553" sId="1">
    <oc r="M59" t="inlineStr">
      <is>
        <t>B20</t>
      </is>
    </oc>
    <nc r="M59" t="inlineStr">
      <is>
        <t>P6</t>
      </is>
    </nc>
  </rcc>
  <rcc rId="140554" sId="1">
    <oc r="N59">
      <v>20</v>
    </oc>
    <nc r="N59">
      <v>7</v>
    </nc>
  </rcc>
  <rcc rId="140555" sId="1">
    <oc r="O59" t="inlineStr">
      <is>
        <t>B</t>
      </is>
    </oc>
    <nc r="O59" t="inlineStr">
      <is>
        <t>A</t>
      </is>
    </nc>
  </rcc>
  <rcc rId="140556" sId="1">
    <oc r="G60" t="inlineStr">
      <is>
        <t>B787</t>
      </is>
    </oc>
    <nc r="G60" t="inlineStr">
      <is>
        <t>B38M</t>
      </is>
    </nc>
  </rcc>
  <rcc rId="140557" sId="1">
    <oc r="I60">
      <v>339</v>
    </oc>
    <nc r="I60">
      <v>184</v>
    </nc>
  </rcc>
  <rcc rId="140558" sId="1">
    <oc r="L60">
      <v>5</v>
    </oc>
    <nc r="L60">
      <v>13</v>
    </nc>
  </rcc>
  <rcc rId="140559" sId="1">
    <oc r="M60" t="inlineStr">
      <is>
        <t>P7</t>
      </is>
    </oc>
    <nc r="M60" t="inlineStr">
      <is>
        <t>B25</t>
      </is>
    </nc>
  </rcc>
  <rcc rId="140560" sId="1">
    <oc r="N60">
      <v>6</v>
    </oc>
    <nc r="N60">
      <v>25</v>
    </nc>
  </rcc>
  <rcc rId="140561" sId="1">
    <oc r="O60" t="inlineStr">
      <is>
        <t>A</t>
      </is>
    </oc>
    <nc r="O60" t="inlineStr">
      <is>
        <t>B</t>
      </is>
    </nc>
  </rcc>
  <rcc rId="140562" sId="1">
    <oc r="G61" t="inlineStr">
      <is>
        <t>B789</t>
      </is>
    </oc>
    <nc r="G61" t="inlineStr">
      <is>
        <t>A320</t>
      </is>
    </nc>
  </rcc>
  <rcc rId="140563" sId="1">
    <oc r="H61" t="inlineStr">
      <is>
        <t>A.A.G.</t>
      </is>
    </oc>
    <nc r="H61" t="inlineStr">
      <is>
        <t>JETBLUE</t>
      </is>
    </nc>
  </rcc>
  <rcc rId="140564" sId="1">
    <oc r="I61">
      <v>339</v>
    </oc>
    <nc r="I61">
      <v>152</v>
    </nc>
  </rcc>
  <rcc rId="140565" sId="1">
    <oc r="K61">
      <v>328</v>
    </oc>
    <nc r="K61">
      <v>160</v>
    </nc>
  </rcc>
  <rcc rId="140566" sId="1">
    <oc r="L61">
      <v>1</v>
    </oc>
    <nc r="L61">
      <v>6</v>
    </nc>
  </rcc>
  <rcc rId="140567" sId="1">
    <oc r="M61" t="inlineStr">
      <is>
        <t>P2</t>
      </is>
    </oc>
    <nc r="M61" t="inlineStr">
      <is>
        <t>P10</t>
      </is>
    </nc>
  </rcc>
  <rcc rId="140568" sId="1">
    <oc r="N61">
      <v>1</v>
    </oc>
    <nc r="N61">
      <v>14</v>
    </nc>
  </rcc>
  <rcc rId="140569" sId="1">
    <oc r="G62" t="inlineStr">
      <is>
        <t>B38M</t>
      </is>
    </oc>
    <nc r="G62" t="inlineStr">
      <is>
        <t>A321</t>
      </is>
    </nc>
  </rcc>
  <rcc rId="140570" sId="1">
    <oc r="H62" t="inlineStr">
      <is>
        <t>SERVAIR</t>
      </is>
    </oc>
    <nc r="H62" t="inlineStr">
      <is>
        <t>CARIPORTS</t>
      </is>
    </nc>
  </rcc>
  <rcc rId="140571" sId="1">
    <oc r="I62">
      <v>104</v>
    </oc>
    <nc r="I62">
      <v>185</v>
    </nc>
  </rcc>
  <rcc rId="140572" sId="1">
    <oc r="K62">
      <v>168</v>
    </oc>
    <nc r="K62">
      <v>195</v>
    </nc>
  </rcc>
  <rcc rId="140573" sId="1">
    <oc r="L62">
      <v>6</v>
    </oc>
    <nc r="L62">
      <v>5</v>
    </nc>
  </rcc>
  <rcc rId="140574" sId="1">
    <oc r="M62" t="inlineStr">
      <is>
        <t>P8A</t>
      </is>
    </oc>
    <nc r="M62" t="inlineStr">
      <is>
        <t>P9</t>
      </is>
    </nc>
  </rcc>
  <rcc rId="140575" sId="1">
    <oc r="N62">
      <v>8</v>
    </oc>
    <nc r="N62">
      <v>12</v>
    </nc>
  </rcc>
  <rcc rId="140576" sId="1">
    <oc r="G63" t="inlineStr">
      <is>
        <t>A321</t>
      </is>
    </oc>
    <nc r="G63" t="inlineStr">
      <is>
        <t>B738</t>
      </is>
    </nc>
  </rcc>
  <rcc rId="140577" sId="1">
    <oc r="H63" t="inlineStr">
      <is>
        <t>SERVAIR</t>
      </is>
    </oc>
    <nc r="H63" t="inlineStr">
      <is>
        <t>CARIPORTS</t>
      </is>
    </nc>
  </rcc>
  <rcc rId="140578" sId="1">
    <oc r="I63">
      <v>189</v>
    </oc>
    <nc r="I63">
      <v>119</v>
    </nc>
  </rcc>
  <rcc rId="140579" sId="1">
    <oc r="K63">
      <v>173</v>
    </oc>
    <nc r="K63">
      <v>168</v>
    </nc>
  </rcc>
  <rcc rId="140580" sId="1">
    <oc r="L63">
      <v>18</v>
    </oc>
    <nc r="L63">
      <v>2</v>
    </nc>
  </rcc>
  <rcc rId="140581" sId="1">
    <oc r="M63" t="inlineStr">
      <is>
        <t>B32</t>
      </is>
    </oc>
    <nc r="M63" t="inlineStr">
      <is>
        <t>P1A</t>
      </is>
    </nc>
  </rcc>
  <rcc rId="140582" sId="1">
    <oc r="N63">
      <v>32</v>
    </oc>
    <nc r="N63">
      <v>5</v>
    </nc>
  </rcc>
  <rcc rId="140583" sId="1">
    <oc r="O63" t="inlineStr">
      <is>
        <t>B</t>
      </is>
    </oc>
    <nc r="O63" t="inlineStr">
      <is>
        <t>A</t>
      </is>
    </nc>
  </rcc>
  <rcc rId="140584" sId="1">
    <oc r="G64" t="inlineStr">
      <is>
        <t>B39M</t>
      </is>
    </oc>
    <nc r="G64" t="inlineStr">
      <is>
        <t>B737</t>
      </is>
    </nc>
  </rcc>
  <rcc rId="140585" sId="1">
    <oc r="H64" t="inlineStr">
      <is>
        <t>UNITED</t>
      </is>
    </oc>
    <nc r="H64" t="inlineStr">
      <is>
        <t>A.A.G.</t>
      </is>
    </nc>
  </rcc>
  <rcc rId="140586" sId="1">
    <oc r="I64">
      <v>156</v>
    </oc>
    <nc r="I64">
      <v>175</v>
    </nc>
  </rcc>
  <rcc rId="140587" sId="1">
    <oc r="K64">
      <v>169</v>
    </oc>
    <nc r="K64">
      <v>170</v>
    </nc>
  </rcc>
  <rcc rId="140588" sId="1">
    <oc r="M64" t="inlineStr">
      <is>
        <t>B22</t>
      </is>
    </oc>
    <nc r="M64" t="inlineStr">
      <is>
        <t>B24</t>
      </is>
    </nc>
  </rcc>
  <rcc rId="140589" sId="1">
    <oc r="N64">
      <v>22</v>
    </oc>
    <nc r="N64">
      <v>24</v>
    </nc>
  </rcc>
  <rcc rId="140590" sId="1">
    <oc r="G65" t="inlineStr">
      <is>
        <t>B38M</t>
      </is>
    </oc>
    <nc r="G65" t="inlineStr">
      <is>
        <t>B777</t>
      </is>
    </nc>
  </rcc>
  <rcc rId="140591" sId="1">
    <oc r="H65" t="inlineStr">
      <is>
        <t>TRADING AVIATION</t>
      </is>
    </oc>
    <nc r="H65" t="inlineStr">
      <is>
        <t>CARIPORTS</t>
      </is>
    </nc>
  </rcc>
  <rcc rId="140592" sId="1">
    <oc r="I65">
      <v>175</v>
    </oc>
    <nc r="I65">
      <v>289</v>
    </nc>
  </rcc>
  <rcc rId="140593" sId="1">
    <oc r="K65">
      <v>162</v>
    </oc>
    <nc r="K65">
      <v>319</v>
    </nc>
  </rcc>
  <rcc rId="140594" sId="1">
    <oc r="L65">
      <v>12</v>
    </oc>
    <nc r="L65">
      <v>15</v>
    </nc>
  </rcc>
  <rcc rId="140595" sId="1">
    <oc r="M65" t="inlineStr">
      <is>
        <t>B21</t>
      </is>
    </oc>
    <nc r="M65" t="inlineStr">
      <is>
        <t>B30</t>
      </is>
    </nc>
  </rcc>
  <rcc rId="140596" sId="1">
    <oc r="N65">
      <v>21</v>
    </oc>
    <nc r="N65">
      <v>30</v>
    </nc>
  </rcc>
  <rcc rId="140597" sId="1">
    <oc r="G66" t="inlineStr">
      <is>
        <t>MD82</t>
      </is>
    </oc>
    <nc r="G66" t="inlineStr">
      <is>
        <t>A321</t>
      </is>
    </nc>
  </rcc>
  <rcc rId="140598" sId="1">
    <oc r="H66" t="inlineStr">
      <is>
        <t>A.A.G.</t>
      </is>
    </oc>
    <nc r="H66" t="inlineStr">
      <is>
        <t>ENVOY</t>
      </is>
    </nc>
  </rcc>
  <rcc rId="140599" sId="1">
    <oc r="I66" t="inlineStr">
      <is>
        <t>N/A</t>
      </is>
    </oc>
    <nc r="I66">
      <v>176</v>
    </nc>
  </rcc>
  <rcc rId="140600" sId="1">
    <oc r="K66" t="inlineStr">
      <is>
        <t>N/A</t>
      </is>
    </oc>
    <nc r="K66">
      <v>183</v>
    </nc>
  </rcc>
  <rcc rId="140601" sId="1">
    <oc r="L66">
      <v>2</v>
    </oc>
    <nc r="L66">
      <v>16</v>
    </nc>
  </rcc>
  <rcc rId="140602" sId="1">
    <oc r="M66" t="inlineStr">
      <is>
        <t>N5</t>
      </is>
    </oc>
    <nc r="M66" t="inlineStr">
      <is>
        <t>B27</t>
      </is>
    </nc>
  </rcc>
  <rcc rId="140603" sId="1">
    <oc r="N66">
      <v>2</v>
    </oc>
    <nc r="N66">
      <v>27</v>
    </nc>
  </rcc>
  <rcc rId="140604" sId="1">
    <oc r="O66" t="inlineStr">
      <is>
        <t>A</t>
      </is>
    </oc>
    <nc r="O66" t="inlineStr">
      <is>
        <t>B</t>
      </is>
    </nc>
  </rcc>
  <rcc rId="140605" sId="1">
    <oc r="G67" t="inlineStr">
      <is>
        <t>B738</t>
      </is>
    </oc>
    <nc r="G67" t="inlineStr">
      <is>
        <t>A321</t>
      </is>
    </nc>
  </rcc>
  <rcc rId="140606" sId="1">
    <oc r="H67" t="inlineStr">
      <is>
        <t>ENVOY</t>
      </is>
    </oc>
    <nc r="H67" t="inlineStr">
      <is>
        <t>CARIPORTS</t>
      </is>
    </nc>
  </rcc>
  <rcc rId="140607" sId="1">
    <oc r="I67">
      <v>172</v>
    </oc>
    <nc r="I67">
      <v>209</v>
    </nc>
  </rcc>
  <rcc rId="140608" sId="1">
    <oc r="K67">
      <v>139</v>
    </oc>
    <nc r="K67">
      <v>236</v>
    </nc>
  </rcc>
  <rcc rId="140609" sId="1">
    <oc r="L67">
      <v>15</v>
    </oc>
    <nc r="L67">
      <v>3</v>
    </nc>
  </rcc>
  <rcc rId="140610" sId="1">
    <oc r="M67" t="inlineStr">
      <is>
        <t>B27</t>
      </is>
    </oc>
    <nc r="M67" t="inlineStr">
      <is>
        <t>P3</t>
      </is>
    </nc>
  </rcc>
  <rcc rId="140611" sId="1">
    <oc r="N67">
      <v>27</v>
    </oc>
    <nc r="N67">
      <v>6</v>
    </nc>
  </rcc>
  <rcc rId="140612" sId="1">
    <oc r="O67" t="inlineStr">
      <is>
        <t>B</t>
      </is>
    </oc>
    <nc r="O67" t="inlineStr">
      <is>
        <t>A</t>
      </is>
    </nc>
  </rcc>
  <rcc rId="140613" sId="1">
    <oc r="G68" t="inlineStr">
      <is>
        <t>A321</t>
      </is>
    </oc>
    <nc r="G68" t="inlineStr">
      <is>
        <t>B39M</t>
      </is>
    </nc>
  </rcc>
  <rcc rId="140614" sId="1">
    <oc r="H68" t="inlineStr">
      <is>
        <t>ENVOY</t>
      </is>
    </oc>
    <nc r="H68" t="inlineStr">
      <is>
        <t>UNITED</t>
      </is>
    </nc>
  </rcc>
  <rcc rId="140615" sId="1">
    <oc r="I68">
      <v>189</v>
    </oc>
    <nc r="I68">
      <v>177</v>
    </nc>
  </rcc>
  <rcc rId="140616" sId="1">
    <oc r="K68">
      <v>175</v>
    </oc>
    <nc r="K68">
      <v>179</v>
    </nc>
  </rcc>
  <rcc rId="140617" sId="1">
    <oc r="L68">
      <v>17</v>
    </oc>
    <nc r="L68">
      <v>12</v>
    </nc>
  </rcc>
  <rcc rId="140618" sId="1">
    <oc r="M68" t="inlineStr">
      <is>
        <t>B30</t>
      </is>
    </oc>
    <nc r="M68" t="inlineStr">
      <is>
        <t>B23</t>
      </is>
    </nc>
  </rcc>
  <rcc rId="140619" sId="1">
    <oc r="N68">
      <v>30</v>
    </oc>
    <nc r="N68">
      <v>23</v>
    </nc>
  </rcc>
  <rcc rId="140620" sId="1">
    <oc r="G69" t="inlineStr">
      <is>
        <t>A320</t>
      </is>
    </oc>
    <nc r="G69" t="inlineStr">
      <is>
        <t>A321</t>
      </is>
    </nc>
  </rcc>
  <rcc rId="140621" sId="1">
    <oc r="H69" t="inlineStr">
      <is>
        <t>JETBLUE</t>
      </is>
    </oc>
    <nc r="H69" t="inlineStr">
      <is>
        <t>SERVAIR</t>
      </is>
    </nc>
  </rcc>
  <rcc rId="140622" sId="1">
    <oc r="I69">
      <v>141</v>
    </oc>
    <nc r="I69">
      <v>178</v>
    </nc>
  </rcc>
  <rcc rId="140623" sId="1">
    <oc r="K69">
      <v>77</v>
    </oc>
    <nc r="K69">
      <v>182</v>
    </nc>
  </rcc>
  <rcc rId="140624" sId="1">
    <oc r="L69">
      <v>2</v>
    </oc>
    <nc r="L69">
      <v>11</v>
    </nc>
  </rcc>
  <rcc rId="140625" sId="1">
    <oc r="M69" t="inlineStr">
      <is>
        <t>P9</t>
      </is>
    </oc>
    <nc r="M69" t="inlineStr">
      <is>
        <t>B22</t>
      </is>
    </nc>
  </rcc>
  <rcc rId="140626" sId="1">
    <oc r="N69">
      <v>12</v>
    </oc>
    <nc r="N69">
      <v>22</v>
    </nc>
  </rcc>
  <rcc rId="140627" sId="1">
    <oc r="O69" t="inlineStr">
      <is>
        <t>A</t>
      </is>
    </oc>
    <nc r="O69" t="inlineStr">
      <is>
        <t>B</t>
      </is>
    </nc>
  </rcc>
  <rcc rId="140628" sId="1">
    <oc r="G70" t="inlineStr">
      <is>
        <t>A321</t>
      </is>
    </oc>
    <nc r="G70" t="inlineStr">
      <is>
        <t>B38M</t>
      </is>
    </nc>
  </rcc>
  <rcc rId="140629" sId="1">
    <oc r="H70" t="inlineStr">
      <is>
        <t>ENVOY</t>
      </is>
    </oc>
    <nc r="H70" t="inlineStr">
      <is>
        <t>SERVAIR</t>
      </is>
    </nc>
  </rcc>
  <rcc rId="140630" sId="1">
    <oc r="I70">
      <v>195</v>
    </oc>
    <nc r="I70">
      <v>167</v>
    </nc>
  </rcc>
  <rcc rId="140631" sId="1">
    <oc r="K70">
      <v>178</v>
    </oc>
    <nc r="K70">
      <v>167</v>
    </nc>
  </rcc>
  <rcc rId="140632" sId="1">
    <oc r="L70">
      <v>16</v>
    </oc>
    <nc r="L70">
      <v>1</v>
    </nc>
  </rcc>
  <rcc rId="140633" sId="1">
    <oc r="M70" t="inlineStr">
      <is>
        <t>B31</t>
      </is>
    </oc>
    <nc r="M70" t="inlineStr">
      <is>
        <t>P4</t>
      </is>
    </nc>
  </rcc>
  <rcc rId="140634" sId="1">
    <oc r="N70">
      <v>31</v>
    </oc>
    <nc r="N70">
      <v>3</v>
    </nc>
  </rcc>
  <rcc rId="140635" sId="1">
    <oc r="O70" t="inlineStr">
      <is>
        <t>B</t>
      </is>
    </oc>
    <nc r="O70" t="inlineStr">
      <is>
        <t>A</t>
      </is>
    </nc>
  </rcc>
  <rcc rId="140636" sId="1">
    <oc r="G71" t="inlineStr">
      <is>
        <t>A320</t>
      </is>
    </oc>
    <nc r="G71" t="inlineStr">
      <is>
        <t>B39M</t>
      </is>
    </nc>
  </rcc>
  <rcc rId="140637" sId="1">
    <oc r="H71" t="inlineStr">
      <is>
        <t>E.T HEINSEN</t>
      </is>
    </oc>
    <nc r="H71" t="inlineStr">
      <is>
        <t>UNITED</t>
      </is>
    </nc>
  </rcc>
  <rcc rId="140638" sId="1">
    <oc r="I71">
      <v>171</v>
    </oc>
    <nc r="I71">
      <v>163</v>
    </nc>
  </rcc>
  <rcc rId="140639" sId="1">
    <oc r="K71">
      <v>156</v>
    </oc>
    <nc r="K71">
      <v>179</v>
    </nc>
  </rcc>
  <rcc rId="140640" sId="1">
    <oc r="L71">
      <v>1</v>
    </oc>
    <nc r="L71">
      <v>12</v>
    </nc>
  </rcc>
  <rcc rId="140641" sId="1">
    <oc r="M71" t="inlineStr">
      <is>
        <t>P3</t>
      </is>
    </oc>
    <nc r="M71" t="inlineStr">
      <is>
        <t>B26A</t>
      </is>
    </nc>
  </rcc>
  <rcc rId="140642" sId="1">
    <oc r="N71">
      <v>10</v>
    </oc>
    <nc r="N71">
      <v>26</v>
    </nc>
  </rcc>
  <rcc rId="140643" sId="1">
    <oc r="O71" t="inlineStr">
      <is>
        <t>A</t>
      </is>
    </oc>
    <nc r="O71" t="inlineStr">
      <is>
        <t>B</t>
      </is>
    </nc>
  </rcc>
  <rcc rId="140644" sId="1">
    <oc r="G72" t="inlineStr">
      <is>
        <t>A320</t>
      </is>
    </oc>
    <nc r="G72" t="inlineStr">
      <is>
        <t>B789</t>
      </is>
    </nc>
  </rcc>
  <rcc rId="140645" sId="1">
    <oc r="H72" t="inlineStr">
      <is>
        <t>CARIPORTS</t>
      </is>
    </oc>
    <nc r="H72" t="inlineStr">
      <is>
        <t>A.A.G.</t>
      </is>
    </nc>
  </rcc>
  <rcc rId="140646" sId="1">
    <oc r="I72">
      <v>189</v>
    </oc>
    <nc r="I72">
      <v>323</v>
    </nc>
  </rcc>
  <rcc rId="140647" sId="1">
    <oc r="K72">
      <v>188</v>
    </oc>
    <nc r="K72">
      <v>325</v>
    </nc>
  </rcc>
  <rcc rId="140648" sId="1">
    <oc r="L72">
      <v>3</v>
    </oc>
    <nc r="L72">
      <v>6</v>
    </nc>
  </rcc>
  <rcc rId="140649" sId="1">
    <oc r="M72" t="inlineStr">
      <is>
        <t>P6</t>
      </is>
    </oc>
    <nc r="M72" t="inlineStr">
      <is>
        <t>P7</t>
      </is>
    </nc>
  </rcc>
  <rcc rId="140650" sId="1">
    <oc r="N72">
      <v>9</v>
    </oc>
    <nc r="N72">
      <v>1</v>
    </nc>
  </rcc>
  <rcc rId="140651" sId="1">
    <oc r="G73" t="inlineStr">
      <is>
        <t>A359</t>
      </is>
    </oc>
    <nc r="G73" t="inlineStr">
      <is>
        <t>B38M</t>
      </is>
    </nc>
  </rcc>
  <rcc rId="140652" sId="1">
    <oc r="H73" t="inlineStr">
      <is>
        <t>G.A.S</t>
      </is>
    </oc>
    <nc r="H73" t="inlineStr">
      <is>
        <t>TRADING AVIATION</t>
      </is>
    </nc>
  </rcc>
  <rcc rId="140653" sId="1">
    <oc r="I73">
      <v>300</v>
    </oc>
    <nc r="I73">
      <v>167</v>
    </nc>
  </rcc>
  <rcc rId="140654" sId="1">
    <oc r="K73">
      <v>300</v>
    </oc>
    <nc r="K73">
      <v>177</v>
    </nc>
  </rcc>
  <rcc rId="140655" sId="1">
    <oc r="L73">
      <v>6</v>
    </oc>
    <nc r="L73">
      <v>13</v>
    </nc>
  </rcc>
  <rcc rId="140656" sId="1">
    <oc r="M73" t="inlineStr">
      <is>
        <t>P4</t>
      </is>
    </oc>
    <nc r="M73" t="inlineStr">
      <is>
        <t>B20</t>
      </is>
    </nc>
  </rcc>
  <rcc rId="140657" sId="1">
    <oc r="N73">
      <v>14</v>
    </oc>
    <nc r="N73">
      <v>20</v>
    </nc>
  </rcc>
  <rcc rId="140658" sId="1">
    <oc r="O73" t="inlineStr">
      <is>
        <t>A</t>
      </is>
    </oc>
    <nc r="O73" t="inlineStr">
      <is>
        <t>B</t>
      </is>
    </nc>
  </rcc>
  <rcc rId="140659" sId="1">
    <oc r="G74" t="inlineStr">
      <is>
        <t>A321</t>
      </is>
    </oc>
    <nc r="G74" t="inlineStr">
      <is>
        <t>B738</t>
      </is>
    </nc>
  </rcc>
  <rcc rId="140660" sId="1">
    <oc r="H74" t="inlineStr">
      <is>
        <t>CARIPORTS</t>
      </is>
    </oc>
    <nc r="H74" t="inlineStr">
      <is>
        <t>ENVOY</t>
      </is>
    </nc>
  </rcc>
  <rcc rId="140661" sId="1">
    <oc r="I74">
      <v>232</v>
    </oc>
    <nc r="I74">
      <v>163</v>
    </nc>
  </rcc>
  <rcc rId="140662" sId="1">
    <oc r="K74">
      <v>126</v>
    </oc>
    <nc r="K74">
      <v>168</v>
    </nc>
  </rcc>
  <rcc rId="140663" sId="1">
    <oc r="L74">
      <v>6</v>
    </oc>
    <nc r="L74">
      <v>15</v>
    </nc>
  </rcc>
  <rcc rId="140664" sId="1">
    <oc r="M74" t="inlineStr">
      <is>
        <t>P1A</t>
      </is>
    </oc>
    <nc r="M74" t="inlineStr">
      <is>
        <t>B28</t>
      </is>
    </nc>
  </rcc>
  <rcc rId="140665" sId="1">
    <oc r="N74">
      <v>3</v>
    </oc>
    <nc r="N74">
      <v>28</v>
    </nc>
  </rcc>
  <rcc rId="140666" sId="1">
    <oc r="O74" t="inlineStr">
      <is>
        <t>A</t>
      </is>
    </oc>
    <nc r="O74" t="inlineStr">
      <is>
        <t>B</t>
      </is>
    </nc>
  </rcc>
  <rcc rId="140667" sId="1">
    <oc r="G75" t="inlineStr">
      <is>
        <t>B39M</t>
      </is>
    </oc>
    <nc r="G75" t="inlineStr">
      <is>
        <t>A321</t>
      </is>
    </nc>
  </rcc>
  <rcc rId="140668" sId="1">
    <oc r="H75" t="inlineStr">
      <is>
        <t>UNITED</t>
      </is>
    </oc>
    <nc r="H75" t="inlineStr">
      <is>
        <t>ENVOY</t>
      </is>
    </nc>
  </rcc>
  <rcc rId="140669" sId="1">
    <oc r="I75">
      <v>176</v>
    </oc>
    <nc r="I75">
      <v>184</v>
    </nc>
  </rcc>
  <rcc rId="140670" sId="1">
    <oc r="K75">
      <v>149</v>
    </oc>
    <nc r="K75">
      <v>189</v>
    </nc>
  </rcc>
  <rcc rId="140671" sId="1">
    <oc r="L75">
      <v>11</v>
    </oc>
    <nc r="L75">
      <v>16</v>
    </nc>
  </rcc>
  <rcc rId="140672" sId="1">
    <oc r="M75" t="inlineStr">
      <is>
        <t>B24</t>
      </is>
    </oc>
    <nc r="M75" t="inlineStr">
      <is>
        <t>B31</t>
      </is>
    </nc>
  </rcc>
  <rcc rId="140673" sId="1">
    <oc r="N75">
      <v>24</v>
    </oc>
    <nc r="N75">
      <v>31</v>
    </nc>
  </rcc>
  <rcc rId="140674" sId="1">
    <oc r="G76" t="inlineStr">
      <is>
        <t>B38M</t>
      </is>
    </oc>
    <nc r="G76" t="inlineStr">
      <is>
        <t>A320</t>
      </is>
    </nc>
  </rcc>
  <rcc rId="140675" sId="1">
    <oc r="H76" t="inlineStr">
      <is>
        <t>SERVAIR</t>
      </is>
    </oc>
    <nc r="H76" t="inlineStr">
      <is>
        <t>JETBLUE</t>
      </is>
    </nc>
  </rcc>
  <rcc rId="140676" sId="1">
    <oc r="I76">
      <v>166</v>
    </oc>
    <nc r="I76">
      <v>135</v>
    </nc>
  </rcc>
  <rcc rId="140677" sId="1">
    <oc r="K76">
      <v>165</v>
    </oc>
    <nc r="K76">
      <v>162</v>
    </nc>
  </rcc>
  <rcc rId="140678" sId="1">
    <oc r="L76">
      <v>5</v>
    </oc>
    <nc r="L76">
      <v>2</v>
    </nc>
  </rcc>
  <rcc rId="140679" sId="1">
    <oc r="M76" t="inlineStr">
      <is>
        <t>P11</t>
      </is>
    </oc>
    <nc r="M76" t="inlineStr">
      <is>
        <t>P9</t>
      </is>
    </nc>
  </rcc>
  <rcc rId="140680" sId="1">
    <oc r="N76">
      <v>15</v>
    </oc>
    <nc r="N76">
      <v>11</v>
    </nc>
  </rcc>
  <rcc rId="140681" sId="1">
    <oc r="I77">
      <v>190</v>
    </oc>
    <nc r="I77">
      <v>175</v>
    </nc>
  </rcc>
  <rcc rId="140682" sId="1">
    <oc r="K77">
      <v>160</v>
    </oc>
    <nc r="K77">
      <v>197</v>
    </nc>
  </rcc>
  <rcc rId="140683" sId="1">
    <oc r="M77" t="inlineStr">
      <is>
        <t>B28</t>
      </is>
    </oc>
    <nc r="M77" t="inlineStr">
      <is>
        <t>B32</t>
      </is>
    </nc>
  </rcc>
  <rcc rId="140684" sId="1">
    <oc r="N77">
      <v>28</v>
    </oc>
    <nc r="N77">
      <v>32</v>
    </nc>
  </rcc>
  <rcc rId="140685" sId="1">
    <oc r="H78" t="inlineStr">
      <is>
        <t>JETBLUE</t>
      </is>
    </oc>
    <nc r="H78" t="inlineStr">
      <is>
        <t>E.T HEINSEN</t>
      </is>
    </nc>
  </rcc>
  <rcc rId="140686" sId="1">
    <oc r="I78">
      <v>152</v>
    </oc>
    <nc r="I78">
      <v>159</v>
    </nc>
  </rcc>
  <rcc rId="140687" sId="1">
    <oc r="K78">
      <v>77</v>
    </oc>
    <nc r="K78">
      <v>155</v>
    </nc>
  </rcc>
  <rcc rId="140688" sId="1">
    <oc r="L78">
      <v>3</v>
    </oc>
    <nc r="L78">
      <v>2</v>
    </nc>
  </rcc>
  <rcc rId="140689" sId="1">
    <oc r="N78">
      <v>5</v>
    </oc>
    <nc r="N78">
      <v>14</v>
    </nc>
  </rcc>
  <rcc rId="140690" sId="1">
    <oc r="G79" t="inlineStr">
      <is>
        <t>B737</t>
      </is>
    </oc>
    <nc r="G79" t="inlineStr">
      <is>
        <t>A320</t>
      </is>
    </nc>
  </rcc>
  <rcc rId="140691" sId="1">
    <oc r="H79" t="inlineStr">
      <is>
        <t>A.A.G.</t>
      </is>
    </oc>
    <nc r="H79" t="inlineStr">
      <is>
        <t>CARIPORTS</t>
      </is>
    </nc>
  </rcc>
  <rcc rId="140692" sId="1">
    <oc r="I79">
      <v>166</v>
    </oc>
    <nc r="I79">
      <v>184</v>
    </nc>
  </rcc>
  <rcc rId="140693" sId="1">
    <oc r="K79">
      <v>159</v>
    </oc>
    <nc r="K79">
      <v>196</v>
    </nc>
  </rcc>
  <rcc rId="140694" sId="1">
    <oc r="L79">
      <v>12</v>
    </oc>
    <nc r="L79">
      <v>6</v>
    </nc>
  </rcc>
  <rcc rId="140695" sId="1">
    <oc r="M79" t="inlineStr">
      <is>
        <t>B26A</t>
      </is>
    </oc>
    <nc r="M79" t="inlineStr">
      <is>
        <t>P11</t>
      </is>
    </nc>
  </rcc>
  <rcc rId="140696" sId="1">
    <oc r="N79">
      <v>26</v>
    </oc>
    <nc r="N79">
      <v>15</v>
    </nc>
  </rcc>
  <rcc rId="140697" sId="1">
    <oc r="O79" t="inlineStr">
      <is>
        <t>B</t>
      </is>
    </oc>
    <nc r="O79" t="inlineStr">
      <is>
        <t>A</t>
      </is>
    </nc>
  </rcc>
  <rcc rId="140698" sId="1">
    <oc r="H80" t="inlineStr">
      <is>
        <t>ENVOY</t>
      </is>
    </oc>
    <nc r="H80" t="inlineStr">
      <is>
        <t>CARIPORTS</t>
      </is>
    </nc>
  </rcc>
  <rcc rId="140699" sId="1">
    <oc r="I80">
      <v>190</v>
    </oc>
    <nc r="I80">
      <v>199</v>
    </nc>
  </rcc>
  <rcc rId="140700" sId="1">
    <oc r="K80">
      <v>182</v>
    </oc>
    <nc r="K80">
      <v>228</v>
    </nc>
  </rcc>
  <rcc rId="140701" sId="1">
    <oc r="L80">
      <v>15</v>
    </oc>
    <nc r="L80">
      <v>1</v>
    </nc>
  </rcc>
  <rcc rId="140702" sId="1">
    <oc r="M80" t="inlineStr">
      <is>
        <t>B32</t>
      </is>
    </oc>
    <nc r="M80" t="inlineStr">
      <is>
        <t>P8A</t>
      </is>
    </nc>
  </rcc>
  <rcc rId="140703" sId="1">
    <oc r="N80">
      <v>32</v>
    </oc>
    <nc r="N80">
      <v>7</v>
    </nc>
  </rcc>
  <rcc rId="140704" sId="1">
    <oc r="O80" t="inlineStr">
      <is>
        <t>B</t>
      </is>
    </oc>
    <nc r="O80" t="inlineStr">
      <is>
        <t>A</t>
      </is>
    </nc>
  </rcc>
  <rcc rId="140705" sId="1">
    <oc r="G81" t="inlineStr">
      <is>
        <t>B787</t>
      </is>
    </oc>
    <nc r="G81" t="inlineStr">
      <is>
        <t>B39M</t>
      </is>
    </nc>
  </rcc>
  <rcc rId="140706" sId="1">
    <oc r="H81" t="inlineStr">
      <is>
        <t>E.T HEINSEN</t>
      </is>
    </oc>
    <nc r="H81" t="inlineStr">
      <is>
        <t>UNITED</t>
      </is>
    </nc>
  </rcc>
  <rcc rId="140707" sId="1">
    <oc r="I81">
      <v>258</v>
    </oc>
    <nc r="I81">
      <v>177</v>
    </nc>
  </rcc>
  <rcc rId="140708" sId="1">
    <oc r="K81">
      <v>124</v>
    </oc>
    <nc r="K81">
      <v>179</v>
    </nc>
  </rcc>
  <rcc rId="140709" sId="1">
    <oc r="L81">
      <v>1</v>
    </oc>
    <nc r="L81">
      <v>13</v>
    </nc>
  </rcc>
  <rcc rId="140710" sId="1">
    <oc r="M81" t="inlineStr">
      <is>
        <t>P9A</t>
      </is>
    </oc>
    <nc r="M81" t="inlineStr">
      <is>
        <t>B21</t>
      </is>
    </nc>
  </rcc>
  <rcc rId="140711" sId="1">
    <oc r="N81">
      <v>12</v>
    </oc>
    <nc r="N81">
      <v>21</v>
    </nc>
  </rcc>
  <rcc rId="140712" sId="1">
    <oc r="O81" t="inlineStr">
      <is>
        <t>A</t>
      </is>
    </oc>
    <nc r="O81" t="inlineStr">
      <is>
        <t>B</t>
      </is>
    </nc>
  </rcc>
  <rcc rId="140713" sId="1">
    <oc r="G82" t="inlineStr">
      <is>
        <t>A320</t>
      </is>
    </oc>
    <nc r="G82" t="inlineStr">
      <is>
        <t>B38M</t>
      </is>
    </nc>
  </rcc>
  <rcc rId="140714" sId="1">
    <oc r="H82" t="inlineStr">
      <is>
        <t>CARIPORTS</t>
      </is>
    </oc>
    <nc r="H82" t="inlineStr">
      <is>
        <t>SERVAIR</t>
      </is>
    </nc>
  </rcc>
  <rcc rId="140715" sId="1">
    <oc r="I82">
      <v>160</v>
    </oc>
    <nc r="I82">
      <v>142</v>
    </nc>
  </rcc>
  <rcc rId="140716" sId="1">
    <oc r="K82">
      <v>160</v>
    </oc>
    <nc r="K82">
      <v>168</v>
    </nc>
  </rcc>
  <rcc rId="140717" sId="1">
    <oc r="L82">
      <v>2</v>
    </oc>
    <nc r="L82">
      <v>3</v>
    </nc>
  </rcc>
  <rcc rId="140718" sId="1">
    <oc r="M82" t="inlineStr">
      <is>
        <t>P8A</t>
      </is>
    </oc>
    <nc r="M82" t="inlineStr">
      <is>
        <t>P10</t>
      </is>
    </nc>
  </rcc>
  <rcc rId="140719" sId="1">
    <oc r="N82">
      <v>8</v>
    </oc>
    <nc r="N82">
      <v>13</v>
    </nc>
  </rcc>
  <rcc rId="140720" sId="1">
    <oc r="G83" t="inlineStr">
      <is>
        <t>A320</t>
      </is>
    </oc>
    <nc r="G83" t="inlineStr">
      <is>
        <t>A321</t>
      </is>
    </nc>
  </rcc>
  <rcc rId="140721" sId="1">
    <oc r="H83" t="inlineStr">
      <is>
        <t>JETBLUE</t>
      </is>
    </oc>
    <nc r="H83" t="inlineStr">
      <is>
        <t>ENVOY</t>
      </is>
    </nc>
  </rcc>
  <rcc rId="140722" sId="1">
    <oc r="I83">
      <v>131</v>
    </oc>
    <nc r="I83">
      <v>184</v>
    </nc>
  </rcc>
  <rcc rId="140723" sId="1">
    <oc r="K83">
      <v>69</v>
    </oc>
    <nc r="K83">
      <v>187</v>
    </nc>
  </rcc>
  <rcc rId="140724" sId="1">
    <oc r="L83">
      <v>3</v>
    </oc>
    <nc r="L83">
      <v>18</v>
    </nc>
  </rcc>
  <rcc rId="140725" sId="1">
    <oc r="M83" t="inlineStr">
      <is>
        <t>N4</t>
      </is>
    </oc>
    <nc r="M83" t="inlineStr">
      <is>
        <t>B27</t>
      </is>
    </nc>
  </rcc>
  <rcc rId="140726" sId="1">
    <oc r="N83">
      <v>7</v>
    </oc>
    <nc r="N83">
      <v>27</v>
    </nc>
  </rcc>
  <rcc rId="140727" sId="1">
    <oc r="O83" t="inlineStr">
      <is>
        <t>A</t>
      </is>
    </oc>
    <nc r="O83" t="inlineStr">
      <is>
        <t>B</t>
      </is>
    </nc>
  </rcc>
  <rcc rId="140728" sId="1">
    <oc r="G84" t="inlineStr">
      <is>
        <t>A220</t>
      </is>
    </oc>
    <nc r="G84" t="inlineStr">
      <is>
        <t>A320</t>
      </is>
    </nc>
  </rcc>
  <rcc rId="140729" sId="1">
    <oc r="I84">
      <v>139</v>
    </oc>
    <nc r="I84">
      <v>108</v>
    </nc>
  </rcc>
  <rcc rId="140730" sId="1">
    <oc r="K84">
      <v>133</v>
    </oc>
    <nc r="K84">
      <v>155</v>
    </nc>
  </rcc>
  <rcc rId="140731" sId="1">
    <oc r="M84" t="inlineStr">
      <is>
        <t>N3</t>
      </is>
    </oc>
    <nc r="M84" t="inlineStr">
      <is>
        <t>P6</t>
      </is>
    </nc>
  </rcc>
  <rcc rId="140732" sId="1">
    <oc r="N84">
      <v>2</v>
    </oc>
    <nc r="N84">
      <v>5</v>
    </nc>
  </rcc>
  <rcc rId="140733" sId="1">
    <oc r="G85" t="inlineStr">
      <is>
        <t>A320</t>
      </is>
    </oc>
    <nc r="G85" t="inlineStr">
      <is>
        <t>B737</t>
      </is>
    </nc>
  </rcc>
  <rcc rId="140734" sId="1">
    <oc r="H85" t="inlineStr">
      <is>
        <t>AVIANCA</t>
      </is>
    </oc>
    <nc r="H85" t="inlineStr">
      <is>
        <t>A.A.G.</t>
      </is>
    </nc>
  </rcc>
  <rcc rId="140735" sId="1">
    <oc r="I85">
      <v>159</v>
    </oc>
    <nc r="I85">
      <v>127</v>
    </nc>
  </rcc>
  <rcc rId="140736" sId="1">
    <oc r="K85">
      <v>156</v>
    </oc>
    <nc r="K85">
      <v>123</v>
    </nc>
  </rcc>
  <rcc rId="140737" sId="1">
    <oc r="L85">
      <v>1</v>
    </oc>
    <nc r="L85">
      <v>12</v>
    </nc>
  </rcc>
  <rcc rId="140738" sId="1">
    <oc r="M85" t="inlineStr">
      <is>
        <t>P6</t>
      </is>
    </oc>
    <nc r="M85" t="inlineStr">
      <is>
        <t>B24</t>
      </is>
    </nc>
  </rcc>
  <rcc rId="140739" sId="1">
    <oc r="N85">
      <v>4</v>
    </oc>
    <nc r="N85">
      <v>24</v>
    </nc>
  </rcc>
  <rcc rId="140740" sId="1">
    <oc r="O85" t="inlineStr">
      <is>
        <t>A</t>
      </is>
    </oc>
    <nc r="O85" t="inlineStr">
      <is>
        <t>B</t>
      </is>
    </nc>
  </rcc>
  <rcc rId="140741" sId="1">
    <oc r="G86" t="inlineStr">
      <is>
        <t>B738</t>
      </is>
    </oc>
    <nc r="G86" t="inlineStr">
      <is>
        <t>A321</t>
      </is>
    </nc>
  </rcc>
  <rcc rId="140742" sId="1">
    <oc r="I86">
      <v>170</v>
    </oc>
    <nc r="I86">
      <v>180</v>
    </nc>
  </rcc>
  <rcc rId="140743" sId="1">
    <oc r="K86">
      <v>136</v>
    </oc>
    <nc r="K86">
      <v>188</v>
    </nc>
  </rcc>
  <rcc rId="140744" sId="1">
    <oc r="L86">
      <v>18</v>
    </oc>
    <nc r="L86">
      <v>16</v>
    </nc>
  </rcc>
  <rcc rId="140745" sId="1">
    <oc r="M86" t="inlineStr">
      <is>
        <t>B27</t>
      </is>
    </oc>
    <nc r="M86" t="inlineStr">
      <is>
        <t>B28</t>
      </is>
    </nc>
  </rcc>
  <rcc rId="140746" sId="1">
    <oc r="N86">
      <v>27</v>
    </oc>
    <nc r="N86">
      <v>28</v>
    </nc>
  </rcc>
  <rcc rId="140747" sId="1">
    <oc r="G87" t="inlineStr">
      <is>
        <t>B37M</t>
      </is>
    </oc>
    <nc r="G87" t="inlineStr">
      <is>
        <t>A320</t>
      </is>
    </nc>
  </rcc>
  <rcc rId="140748" sId="1">
    <oc r="K87">
      <v>161</v>
    </oc>
    <nc r="K87">
      <v>147</v>
    </nc>
  </rcc>
  <rcc rId="140749" sId="1">
    <oc r="L87">
      <v>11</v>
    </oc>
    <nc r="L87">
      <v>5</v>
    </nc>
  </rcc>
  <rcc rId="140750" sId="1">
    <oc r="M87" t="inlineStr">
      <is>
        <t>B22</t>
      </is>
    </oc>
    <nc r="M87" t="inlineStr">
      <is>
        <t>P9</t>
      </is>
    </nc>
  </rcc>
  <rcc rId="140751" sId="1">
    <oc r="N87">
      <v>22</v>
    </oc>
    <nc r="N87">
      <v>12</v>
    </nc>
  </rcc>
  <rcc rId="140752" sId="1">
    <oc r="O87" t="inlineStr">
      <is>
        <t>B</t>
      </is>
    </oc>
    <nc r="O87" t="inlineStr">
      <is>
        <t>A</t>
      </is>
    </nc>
  </rcc>
  <rcc rId="140753" sId="1">
    <oc r="G88" t="inlineStr">
      <is>
        <t>A359</t>
      </is>
    </oc>
    <nc r="G88" t="inlineStr">
      <is>
        <t>B789</t>
      </is>
    </nc>
  </rcc>
  <rcc rId="140754" sId="1">
    <oc r="H88" t="inlineStr">
      <is>
        <t>SERVAIR</t>
      </is>
    </oc>
    <nc r="H88" t="inlineStr">
      <is>
        <t>A.A.G.</t>
      </is>
    </nc>
  </rcc>
  <rcc rId="140755" sId="1">
    <oc r="I88">
      <v>189</v>
    </oc>
    <nc r="I88">
      <v>344</v>
    </nc>
  </rcc>
  <rcc rId="140756" sId="1">
    <oc r="K88">
      <v>336</v>
    </oc>
    <nc r="K88">
      <v>325</v>
    </nc>
  </rcc>
  <rcc rId="140757" sId="1">
    <oc r="L88">
      <v>15</v>
    </oc>
    <nc r="L88">
      <v>1</v>
    </nc>
  </rcc>
  <rcc rId="140758" sId="1">
    <oc r="M88" t="inlineStr">
      <is>
        <t>B30</t>
      </is>
    </oc>
    <nc r="M88" t="inlineStr">
      <is>
        <t>P4</t>
      </is>
    </nc>
  </rcc>
  <rcc rId="140759" sId="1">
    <oc r="N88">
      <v>30</v>
    </oc>
    <nc r="N88">
      <v>2</v>
    </nc>
  </rcc>
  <rcc rId="140760" sId="1">
    <oc r="O88" t="inlineStr">
      <is>
        <t>B</t>
      </is>
    </oc>
    <nc r="O88" t="inlineStr">
      <is>
        <t>A</t>
      </is>
    </nc>
  </rcc>
  <rcc rId="140761" sId="1">
    <oc r="H89" t="inlineStr">
      <is>
        <t>AVIANCA</t>
      </is>
    </oc>
    <nc r="H89" t="inlineStr">
      <is>
        <t>JETBLUE</t>
      </is>
    </nc>
  </rcc>
  <rcc rId="140762" sId="1">
    <oc r="I89">
      <v>163</v>
    </oc>
    <nc r="I89">
      <v>102</v>
    </nc>
  </rcc>
  <rcc rId="140763" sId="1">
    <oc r="K89">
      <v>166</v>
    </oc>
    <nc r="K89">
      <v>162</v>
    </nc>
  </rcc>
  <rcc rId="140764" sId="1">
    <oc r="L89">
      <v>6</v>
    </oc>
    <nc r="L89">
      <v>2</v>
    </nc>
  </rcc>
  <rcc rId="140765" sId="1">
    <oc r="M89" t="inlineStr">
      <is>
        <t>P7</t>
      </is>
    </oc>
    <nc r="M89" t="inlineStr">
      <is>
        <t>P3</t>
      </is>
    </nc>
  </rcc>
  <rcc rId="140766" sId="1">
    <oc r="N89">
      <v>6</v>
    </oc>
    <nc r="N89">
      <v>3</v>
    </nc>
  </rcc>
  <rcc rId="140767" sId="1">
    <oc r="H90" t="inlineStr">
      <is>
        <t>E.T HEINSEN</t>
      </is>
    </oc>
    <nc r="H90" t="inlineStr">
      <is>
        <t>JETBLUE</t>
      </is>
    </nc>
  </rcc>
  <rcc rId="140768" sId="1">
    <oc r="I90">
      <v>42</v>
    </oc>
    <nc r="I90">
      <v>138</v>
    </nc>
  </rcc>
  <rcc rId="140769" sId="1">
    <oc r="K90">
      <v>150</v>
    </oc>
    <nc r="K90">
      <v>140</v>
    </nc>
  </rcc>
  <rcc rId="140770" sId="1">
    <oc r="L90">
      <v>6</v>
    </oc>
    <nc r="L90">
      <v>2</v>
    </nc>
  </rcc>
  <rcc rId="140771" sId="1">
    <oc r="M90" t="inlineStr">
      <is>
        <t>P5</t>
      </is>
    </oc>
    <nc r="M90" t="inlineStr">
      <is>
        <t>P11</t>
      </is>
    </nc>
  </rcc>
  <rcc rId="140772" sId="1">
    <oc r="N90">
      <v>9</v>
    </oc>
    <nc r="N90">
      <v>16</v>
    </nc>
  </rcc>
  <rcc rId="140773" sId="1">
    <oc r="G91" t="inlineStr">
      <is>
        <t>B738</t>
      </is>
    </oc>
    <nc r="G91" t="inlineStr">
      <is>
        <t>A320</t>
      </is>
    </nc>
  </rcc>
  <rcc rId="140774" sId="1">
    <oc r="H91" t="inlineStr">
      <is>
        <t>A.A.G.</t>
      </is>
    </oc>
    <nc r="H91" t="inlineStr">
      <is>
        <t>AVIANCA</t>
      </is>
    </nc>
  </rcc>
  <rcc rId="140775" sId="1">
    <oc r="I91">
      <v>156</v>
    </oc>
    <nc r="I91">
      <v>169</v>
    </nc>
  </rcc>
  <rcc rId="140776" sId="1">
    <oc r="K91">
      <v>155</v>
    </oc>
    <nc r="K91">
      <v>175</v>
    </nc>
  </rcc>
  <rcc rId="140777" sId="1">
    <oc r="L91">
      <v>12</v>
    </oc>
    <nc r="L91">
      <v>6</v>
    </nc>
  </rcc>
  <rcc rId="140778" sId="1">
    <oc r="M91" t="inlineStr">
      <is>
        <t>B20</t>
      </is>
    </oc>
    <nc r="M91" t="inlineStr">
      <is>
        <t>P8A</t>
      </is>
    </nc>
  </rcc>
  <rcc rId="140779" sId="1">
    <oc r="N91">
      <v>20</v>
    </oc>
    <nc r="N91">
      <v>8</v>
    </nc>
  </rcc>
  <rcc rId="140780" sId="1">
    <oc r="O91" t="inlineStr">
      <is>
        <t>B</t>
      </is>
    </oc>
    <nc r="O91" t="inlineStr">
      <is>
        <t>A</t>
      </is>
    </nc>
  </rcc>
  <rcc rId="140781" sId="1">
    <oc r="G92" t="inlineStr">
      <is>
        <t>B39M</t>
      </is>
    </oc>
    <nc r="G92" t="inlineStr">
      <is>
        <t>B738</t>
      </is>
    </nc>
  </rcc>
  <rcc rId="140782" sId="1">
    <oc r="H92" t="inlineStr">
      <is>
        <t>UNITED</t>
      </is>
    </oc>
    <nc r="H92" t="inlineStr">
      <is>
        <t>ENVOY</t>
      </is>
    </nc>
  </rcc>
  <rcc rId="140783" sId="1">
    <oc r="I92">
      <v>178</v>
    </oc>
    <nc r="I92">
      <v>121</v>
    </nc>
  </rcc>
  <rcc rId="140784" sId="1">
    <oc r="K92">
      <v>149</v>
    </oc>
    <nc r="K92">
      <v>173</v>
    </nc>
  </rcc>
  <rcc rId="140785" sId="1">
    <oc r="L92">
      <v>13</v>
    </oc>
    <nc r="L92">
      <v>16</v>
    </nc>
  </rcc>
  <rcc rId="140786" sId="1">
    <oc r="M92" t="inlineStr">
      <is>
        <t>B21</t>
      </is>
    </oc>
    <nc r="M92" t="inlineStr">
      <is>
        <t>B31</t>
      </is>
    </nc>
  </rcc>
  <rcc rId="140787" sId="1">
    <oc r="N92">
      <v>21</v>
    </oc>
    <nc r="N92">
      <v>31</v>
    </nc>
  </rcc>
  <rcc rId="140788" sId="1">
    <oc r="G93" t="inlineStr">
      <is>
        <t>A339</t>
      </is>
    </oc>
    <nc r="G93" t="inlineStr">
      <is>
        <t>A320</t>
      </is>
    </nc>
  </rcc>
  <rcc rId="140789" sId="1">
    <oc r="H93" t="inlineStr">
      <is>
        <t>E.T HEINSEN</t>
      </is>
    </oc>
    <nc r="H93" t="inlineStr">
      <is>
        <t>AVIANCA</t>
      </is>
    </nc>
  </rcc>
  <rcc rId="140790" sId="1">
    <oc r="I93">
      <v>286</v>
    </oc>
    <nc r="I93">
      <v>133</v>
    </nc>
  </rcc>
  <rcc rId="140791" sId="1">
    <oc r="K93">
      <v>305</v>
    </oc>
    <nc r="K93">
      <v>163</v>
    </nc>
  </rcc>
  <rcc rId="140792" sId="1">
    <oc r="L93">
      <v>1</v>
    </oc>
    <nc r="L93">
      <v>3</v>
    </nc>
  </rcc>
  <rcc rId="140793" sId="1">
    <oc r="M93" t="inlineStr">
      <is>
        <t>P11A</t>
      </is>
    </oc>
    <nc r="M93" t="inlineStr">
      <is>
        <t>P7</t>
      </is>
    </nc>
  </rcc>
  <rcc rId="140794" sId="1">
    <oc r="N93">
      <v>15</v>
    </oc>
    <nc r="N93">
      <v>6</v>
    </nc>
  </rcc>
  <rcc rId="140795" sId="1">
    <oc r="G94" t="inlineStr">
      <is>
        <t>A320</t>
      </is>
    </oc>
    <nc r="G94" t="inlineStr">
      <is>
        <t>B738</t>
      </is>
    </nc>
  </rcc>
  <rcc rId="140796" sId="1">
    <oc r="H94" t="inlineStr">
      <is>
        <t>E.T HEINSEN</t>
      </is>
    </oc>
    <nc r="H94" t="inlineStr">
      <is>
        <t>A.A.G.</t>
      </is>
    </nc>
  </rcc>
  <rcc rId="140797" sId="1">
    <oc r="I94">
      <v>121</v>
    </oc>
    <nc r="I94">
      <v>165</v>
    </nc>
  </rcc>
  <rcc rId="140798" sId="1">
    <oc r="K94">
      <v>156</v>
    </oc>
    <nc r="K94">
      <v>162</v>
    </nc>
  </rcc>
  <rcc rId="140799" sId="1">
    <oc r="L94">
      <v>2</v>
    </oc>
    <nc r="L94">
      <v>11</v>
    </nc>
  </rcc>
  <rcc rId="140800" sId="1">
    <oc r="M94" t="inlineStr">
      <is>
        <t>P9A</t>
      </is>
    </oc>
    <nc r="M94" t="inlineStr">
      <is>
        <t>B22</t>
      </is>
    </nc>
  </rcc>
  <rcc rId="140801" sId="1">
    <oc r="N94">
      <v>11</v>
    </oc>
    <nc r="N94">
      <v>22</v>
    </nc>
  </rcc>
  <rcc rId="140802" sId="1">
    <oc r="O94" t="inlineStr">
      <is>
        <t>A</t>
      </is>
    </oc>
    <nc r="O94" t="inlineStr">
      <is>
        <t>B</t>
      </is>
    </nc>
  </rcc>
  <rcc rId="140803" sId="1">
    <oc r="G95" t="inlineStr">
      <is>
        <t>B38M</t>
      </is>
    </oc>
    <nc r="G95" t="inlineStr">
      <is>
        <t>B39M</t>
      </is>
    </nc>
  </rcc>
  <rcc rId="140804" sId="1">
    <oc r="H95" t="inlineStr">
      <is>
        <t>A.A.G.</t>
      </is>
    </oc>
    <nc r="H95" t="inlineStr">
      <is>
        <t>UNITED</t>
      </is>
    </nc>
  </rcc>
  <rcc rId="140805" sId="1">
    <oc r="I95">
      <v>181</v>
    </oc>
    <nc r="I95">
      <v>179</v>
    </nc>
  </rcc>
  <rcc rId="140806" sId="1">
    <oc r="K95">
      <v>170</v>
    </oc>
    <nc r="K95">
      <v>164</v>
    </nc>
  </rcc>
  <rcc rId="140807" sId="1">
    <oc r="L95">
      <v>11</v>
    </oc>
    <nc r="L95">
      <v>12</v>
    </nc>
  </rcc>
  <rcc rId="140808" sId="1">
    <oc r="M95" t="inlineStr">
      <is>
        <t>B24</t>
      </is>
    </oc>
    <nc r="M95" t="inlineStr">
      <is>
        <t>B20</t>
      </is>
    </nc>
  </rcc>
  <rcc rId="140809" sId="1">
    <oc r="N95">
      <v>24</v>
    </oc>
    <nc r="N95">
      <v>20</v>
    </nc>
  </rcc>
  <rcc rId="140810" sId="1">
    <oc r="G96" t="inlineStr">
      <is>
        <t>B787</t>
      </is>
    </oc>
    <nc r="G96" t="inlineStr">
      <is>
        <t>A320</t>
      </is>
    </nc>
  </rcc>
  <rcc rId="140811" sId="1">
    <oc r="H96" t="inlineStr">
      <is>
        <t>SERVAIR</t>
      </is>
    </oc>
    <nc r="H96" t="inlineStr">
      <is>
        <t>E.T HEINSEN</t>
      </is>
    </nc>
  </rcc>
  <rcc rId="140812" sId="1">
    <oc r="I96">
      <v>307</v>
    </oc>
    <nc r="I96">
      <v>178</v>
    </nc>
  </rcc>
  <rcc rId="140813" sId="1">
    <oc r="K96">
      <v>306</v>
    </oc>
    <nc r="K96">
      <v>166</v>
    </nc>
  </rcc>
  <rcc rId="140814" sId="1">
    <oc r="L96">
      <v>13</v>
    </oc>
    <nc r="L96">
      <v>5</v>
    </nc>
  </rcc>
  <rcc rId="140815" sId="1">
    <oc r="M96" t="inlineStr">
      <is>
        <t>B25</t>
      </is>
    </oc>
    <nc r="M96" t="inlineStr">
      <is>
        <t>P5</t>
      </is>
    </nc>
  </rcc>
  <rcc rId="140816" sId="1">
    <oc r="N96">
      <v>25</v>
    </oc>
    <nc r="N96">
      <v>9</v>
    </nc>
  </rcc>
  <rcc rId="140817" sId="1">
    <oc r="O96" t="inlineStr">
      <is>
        <t>B</t>
      </is>
    </oc>
    <nc r="O96" t="inlineStr">
      <is>
        <t>A</t>
      </is>
    </nc>
  </rcc>
  <rcc rId="140818" sId="1">
    <oc r="G97" t="inlineStr">
      <is>
        <t>B38M</t>
      </is>
    </oc>
    <nc r="G97" t="inlineStr">
      <is>
        <t>B737</t>
      </is>
    </nc>
  </rcc>
  <rcc rId="140819" sId="1">
    <oc r="H97" t="inlineStr">
      <is>
        <t>A.A.G.</t>
      </is>
    </oc>
    <nc r="H97" t="inlineStr">
      <is>
        <t>SERVAIR</t>
      </is>
    </nc>
  </rcc>
  <rcc rId="140820" sId="1">
    <oc r="I97">
      <v>178</v>
    </oc>
    <nc r="I97">
      <v>170</v>
    </nc>
  </rcc>
  <rcc rId="140821" sId="1">
    <oc r="K97" t="inlineStr">
      <is>
        <t>N/A</t>
      </is>
    </oc>
    <nc r="K97">
      <v>189</v>
    </nc>
  </rcc>
  <rcc rId="140822" sId="1">
    <oc r="L97">
      <v>12</v>
    </oc>
    <nc r="L97">
      <v>1</v>
    </nc>
  </rcc>
  <rcc rId="140823" sId="1">
    <oc r="M97" t="inlineStr">
      <is>
        <t>B26A</t>
      </is>
    </oc>
    <nc r="M97" t="inlineStr">
      <is>
        <t>P6</t>
      </is>
    </nc>
  </rcc>
  <rcc rId="140824" sId="1">
    <oc r="N97">
      <v>26</v>
    </oc>
    <nc r="N97">
      <v>11</v>
    </nc>
  </rcc>
  <rcc rId="140825" sId="1">
    <oc r="O97" t="inlineStr">
      <is>
        <t>B</t>
      </is>
    </oc>
    <nc r="O97" t="inlineStr">
      <is>
        <t>A</t>
      </is>
    </nc>
  </rcc>
  <rcc rId="140826" sId="1">
    <oc r="G98" t="inlineStr">
      <is>
        <t>B38M</t>
      </is>
    </oc>
    <nc r="G98" t="inlineStr">
      <is>
        <t>A333</t>
      </is>
    </nc>
  </rcc>
  <rcc rId="140827" sId="1">
    <oc r="I98">
      <v>136</v>
    </oc>
    <nc r="I98">
      <v>330</v>
    </nc>
  </rcc>
  <rcc rId="140828" sId="1">
    <oc r="K98" t="inlineStr">
      <is>
        <t>N/A</t>
      </is>
    </oc>
    <nc r="K98">
      <v>341</v>
    </nc>
  </rcc>
  <rcc rId="140829" sId="1">
    <oc r="L98">
      <v>12</v>
    </oc>
    <nc r="L98">
      <v>5</v>
    </nc>
  </rcc>
  <rcc rId="140830" sId="1">
    <oc r="M98" t="inlineStr">
      <is>
        <t>B20</t>
      </is>
    </oc>
    <nc r="M98" t="inlineStr">
      <is>
        <t>P9A</t>
      </is>
    </nc>
  </rcc>
  <rcc rId="140831" sId="1">
    <oc r="N98">
      <v>20</v>
    </oc>
    <nc r="N98">
      <v>12</v>
    </nc>
  </rcc>
  <rcc rId="140832" sId="1">
    <oc r="O98" t="inlineStr">
      <is>
        <t>B</t>
      </is>
    </oc>
    <nc r="O98" t="inlineStr">
      <is>
        <t>A</t>
      </is>
    </nc>
  </rcc>
  <rcc rId="140833" sId="1">
    <oc r="G99" t="inlineStr">
      <is>
        <t>A20N</t>
      </is>
    </oc>
    <nc r="G99" t="inlineStr">
      <is>
        <t>MD82</t>
      </is>
    </nc>
  </rcc>
  <rcc rId="140834" sId="1">
    <oc r="H99" t="inlineStr">
      <is>
        <t>CARIPORTS</t>
      </is>
    </oc>
    <nc r="H99" t="inlineStr">
      <is>
        <t>A.A.G.</t>
      </is>
    </nc>
  </rcc>
  <rcc rId="140835" sId="1">
    <oc r="M99" t="inlineStr">
      <is>
        <t>P7</t>
      </is>
    </oc>
    <nc r="M99" t="inlineStr">
      <is>
        <t>N4</t>
      </is>
    </nc>
  </rcc>
  <rcc rId="140836" sId="1">
    <oc r="G100" t="inlineStr">
      <is>
        <t>B38M</t>
      </is>
    </oc>
    <nc r="G100" t="inlineStr">
      <is>
        <t>A339</t>
      </is>
    </nc>
  </rcc>
  <rcc rId="140837" sId="1">
    <oc r="H100" t="inlineStr">
      <is>
        <t>A.A.G.</t>
      </is>
    </oc>
    <nc r="H100" t="inlineStr">
      <is>
        <t>E.T HEINSEN</t>
      </is>
    </nc>
  </rcc>
  <rcc rId="140838" sId="1">
    <oc r="I100">
      <v>146</v>
    </oc>
    <nc r="I100">
      <v>254</v>
    </nc>
  </rcc>
  <rcc rId="140839" sId="1">
    <oc r="K100" t="inlineStr">
      <is>
        <t>N/A</t>
      </is>
    </oc>
    <nc r="K100">
      <v>310</v>
    </nc>
  </rcc>
  <rcc rId="140840" sId="1">
    <oc r="L100">
      <v>11</v>
    </oc>
    <nc r="L100">
      <v>1</v>
    </nc>
  </rcc>
  <rcc rId="140841" sId="1">
    <oc r="M100" t="inlineStr">
      <is>
        <t>B21</t>
      </is>
    </oc>
    <nc r="M100" t="inlineStr">
      <is>
        <t>P11A</t>
      </is>
    </nc>
  </rcc>
  <rcc rId="140842" sId="1">
    <oc r="N100">
      <v>21</v>
    </oc>
    <nc r="N100">
      <v>15</v>
    </nc>
  </rcc>
  <rcc rId="140843" sId="1">
    <oc r="O100" t="inlineStr">
      <is>
        <t>B</t>
      </is>
    </oc>
    <nc r="O100" t="inlineStr">
      <is>
        <t>A</t>
      </is>
    </nc>
  </rcc>
  <rcc rId="140844" sId="1">
    <oc r="G101" t="inlineStr">
      <is>
        <t>B38M</t>
      </is>
    </oc>
    <nc r="G101" t="inlineStr">
      <is>
        <t>B737</t>
      </is>
    </nc>
  </rcc>
  <rcc rId="140845" sId="1">
    <oc r="H101" t="inlineStr">
      <is>
        <t>A.A.G.</t>
      </is>
    </oc>
    <nc r="H101" t="inlineStr">
      <is>
        <t>SERVAIR</t>
      </is>
    </nc>
  </rcc>
  <rcc rId="140846" sId="1">
    <oc r="I101">
      <v>146</v>
    </oc>
    <nc r="I101">
      <v>159</v>
    </nc>
  </rcc>
  <rcc rId="140847" sId="1">
    <oc r="K101" t="inlineStr">
      <is>
        <t>N/A</t>
      </is>
    </oc>
    <nc r="K101">
      <v>159</v>
    </nc>
  </rcc>
  <rcc rId="140848" sId="1">
    <oc r="L101">
      <v>11</v>
    </oc>
    <nc r="L101">
      <v>3</v>
    </nc>
  </rcc>
  <rcc rId="140849" sId="1">
    <oc r="M101" t="inlineStr">
      <is>
        <t>B23B</t>
      </is>
    </oc>
    <nc r="M101" t="inlineStr">
      <is>
        <t>N5</t>
      </is>
    </nc>
  </rcc>
  <rcc rId="140850" sId="1">
    <oc r="N101">
      <v>23</v>
    </oc>
    <nc r="N101">
      <v>10</v>
    </nc>
  </rcc>
  <rcc rId="140851" sId="1">
    <oc r="O101" t="inlineStr">
      <is>
        <t>B</t>
      </is>
    </oc>
    <nc r="O101" t="inlineStr">
      <is>
        <t>A</t>
      </is>
    </nc>
  </rcc>
  <rcc rId="140852" sId="1">
    <oc r="G102" t="inlineStr">
      <is>
        <t>B38M</t>
      </is>
    </oc>
    <nc r="G102" t="inlineStr">
      <is>
        <t>A320</t>
      </is>
    </nc>
  </rcc>
  <rcc rId="140853" sId="1">
    <oc r="H102" t="inlineStr">
      <is>
        <t>A.A.G.</t>
      </is>
    </oc>
    <nc r="H102" t="inlineStr">
      <is>
        <t>E.T HEINSEN</t>
      </is>
    </nc>
  </rcc>
  <rcc rId="140854" sId="1">
    <oc r="I102">
      <v>130</v>
    </oc>
    <nc r="I102">
      <v>174</v>
    </nc>
  </rcc>
  <rcc rId="140855" sId="1">
    <oc r="K102" t="inlineStr">
      <is>
        <t>N/A</t>
      </is>
    </oc>
    <nc r="K102">
      <v>155</v>
    </nc>
  </rcc>
  <rcc rId="140856" sId="1">
    <oc r="L102">
      <v>13</v>
    </oc>
    <nc r="L102">
      <v>2</v>
    </nc>
  </rcc>
  <rcc rId="140857" sId="1">
    <oc r="M102" t="inlineStr">
      <is>
        <t>B22</t>
      </is>
    </oc>
    <nc r="M102" t="inlineStr">
      <is>
        <t>P6</t>
      </is>
    </nc>
  </rcc>
  <rcc rId="140858" sId="1">
    <oc r="N102">
      <v>22</v>
    </oc>
    <nc r="N102">
      <v>10</v>
    </nc>
  </rcc>
  <rcc rId="140859" sId="1">
    <oc r="O102" t="inlineStr">
      <is>
        <t>B</t>
      </is>
    </oc>
    <nc r="O102" t="inlineStr">
      <is>
        <t>A</t>
      </is>
    </nc>
  </rcc>
  <rcc rId="140860" sId="1">
    <nc r="G103" t="inlineStr">
      <is>
        <t>B787</t>
      </is>
    </nc>
  </rcc>
  <rcc rId="140861" sId="1">
    <nc r="H103" t="inlineStr">
      <is>
        <t>SERVAIR</t>
      </is>
    </nc>
  </rcc>
  <rcc rId="140862" sId="1">
    <nc r="I103">
      <v>250</v>
    </nc>
  </rcc>
  <rcc rId="140863" sId="1">
    <nc r="K103">
      <v>311</v>
    </nc>
  </rcc>
  <rcc rId="140864" sId="1">
    <nc r="L103">
      <v>13</v>
    </nc>
  </rcc>
  <rcc rId="140865" sId="1">
    <nc r="M103" t="inlineStr">
      <is>
        <t>B25</t>
      </is>
    </nc>
  </rcc>
  <rcc rId="140866" sId="1">
    <nc r="N103">
      <v>25</v>
    </nc>
  </rcc>
  <rcc rId="140867" sId="1">
    <nc r="O103" t="inlineStr">
      <is>
        <t>B</t>
      </is>
    </nc>
  </rcc>
  <rcc rId="140868" sId="1">
    <nc r="G104" t="inlineStr">
      <is>
        <t>A330</t>
      </is>
    </nc>
  </rcc>
  <rcc rId="140869" sId="1">
    <nc r="H104" t="inlineStr">
      <is>
        <t>CARIPORTS</t>
      </is>
    </nc>
  </rcc>
  <rcc rId="140870" sId="1">
    <nc r="I104">
      <v>357</v>
    </nc>
  </rcc>
  <rcc rId="140871" sId="1">
    <nc r="K104">
      <v>361</v>
    </nc>
  </rcc>
  <rcc rId="140872" sId="1">
    <nc r="L104">
      <v>1</v>
    </nc>
  </rcc>
  <rcc rId="140873" sId="1">
    <nc r="M104" t="inlineStr">
      <is>
        <t>P7</t>
      </is>
    </nc>
  </rcc>
  <rcc rId="140874" sId="1">
    <nc r="N104">
      <v>1</v>
    </nc>
  </rcc>
  <rcc rId="140875" sId="1">
    <nc r="O104" t="inlineStr">
      <is>
        <t>A</t>
      </is>
    </nc>
  </rcc>
  <rcc rId="140876" sId="1">
    <nc r="G105" t="inlineStr">
      <is>
        <t>B737</t>
      </is>
    </nc>
  </rcc>
  <rcc rId="140877" sId="1">
    <nc r="H105" t="inlineStr">
      <is>
        <t>SERVAIR</t>
      </is>
    </nc>
  </rcc>
  <rcc rId="140878" sId="1">
    <nc r="I105">
      <v>170</v>
    </nc>
  </rcc>
  <rcc rId="140879" sId="1">
    <nc r="K105">
      <v>170</v>
    </nc>
  </rcc>
  <rcc rId="140880" sId="1">
    <nc r="L105">
      <v>2</v>
    </nc>
  </rcc>
  <rcc rId="140881" sId="1">
    <nc r="M105" t="inlineStr">
      <is>
        <t>P8A</t>
      </is>
    </nc>
  </rcc>
  <rcc rId="140882" sId="1">
    <nc r="N105">
      <v>7</v>
    </nc>
  </rcc>
  <rcc rId="140883" sId="1">
    <nc r="O105" t="inlineStr">
      <is>
        <t>A</t>
      </is>
    </nc>
  </rcc>
  <rcc rId="140884" sId="1">
    <nc r="G106" t="inlineStr">
      <is>
        <t>A20N</t>
      </is>
    </nc>
  </rcc>
  <rcc rId="140885" sId="1">
    <nc r="H106" t="inlineStr">
      <is>
        <t>CARIPORTS</t>
      </is>
    </nc>
  </rcc>
  <rcc rId="140886" sId="1">
    <nc r="I106">
      <v>69</v>
    </nc>
  </rcc>
  <rcc rId="140887" sId="1">
    <nc r="K106">
      <v>179</v>
    </nc>
  </rcc>
  <rcc rId="140888" sId="1">
    <nc r="L106">
      <v>2</v>
    </nc>
  </rcc>
  <rcc rId="140889" sId="1">
    <nc r="M106" t="inlineStr">
      <is>
        <t>P8A</t>
      </is>
    </nc>
  </rcc>
  <rcc rId="140890" sId="1">
    <nc r="N106">
      <v>8</v>
    </nc>
  </rcc>
  <rcc rId="140891" sId="1">
    <nc r="O106" t="inlineStr">
      <is>
        <t>A</t>
      </is>
    </nc>
  </rcc>
  <rcc rId="140892" sId="1">
    <nc r="G107" t="inlineStr">
      <is>
        <t>B38M</t>
      </is>
    </nc>
  </rcc>
  <rcc rId="140893" sId="1">
    <nc r="H107" t="inlineStr">
      <is>
        <t>A.A.G.</t>
      </is>
    </nc>
  </rcc>
  <rcc rId="140894" sId="1">
    <nc r="I107">
      <v>106</v>
    </nc>
  </rcc>
  <rcc rId="140895" sId="1">
    <nc r="L107">
      <v>11</v>
    </nc>
  </rcc>
  <rcc rId="140896" sId="1">
    <nc r="M107" t="inlineStr">
      <is>
        <t>B24</t>
      </is>
    </nc>
  </rcc>
  <rcc rId="140897" sId="1">
    <nc r="N107">
      <v>24</v>
    </nc>
  </rcc>
  <rcc rId="140898" sId="1">
    <nc r="O107" t="inlineStr">
      <is>
        <t>B</t>
      </is>
    </nc>
  </rcc>
  <rcc rId="140899" sId="1">
    <nc r="G108" t="inlineStr">
      <is>
        <t>B38M</t>
      </is>
    </nc>
  </rcc>
  <rcc rId="140900" sId="1">
    <nc r="H108" t="inlineStr">
      <is>
        <t>A.A.G.</t>
      </is>
    </nc>
  </rcc>
  <rcc rId="140901" sId="1">
    <nc r="I108">
      <v>168</v>
    </nc>
  </rcc>
  <rcc rId="140902" sId="1">
    <nc r="L108">
      <v>12</v>
    </nc>
  </rcc>
  <rcc rId="140903" sId="1">
    <nc r="M108" t="inlineStr">
      <is>
        <t>B26A</t>
      </is>
    </nc>
  </rcc>
  <rcc rId="140904" sId="1">
    <nc r="N108">
      <v>26</v>
    </nc>
  </rcc>
  <rcc rId="140905" sId="1">
    <nc r="O108" t="inlineStr">
      <is>
        <t>B</t>
      </is>
    </nc>
  </rcc>
  <rcc rId="140906" sId="1">
    <nc r="G109" t="inlineStr">
      <is>
        <t>B38M</t>
      </is>
    </nc>
  </rcc>
  <rcc rId="140907" sId="1">
    <nc r="H109" t="inlineStr">
      <is>
        <t>A.A.G.</t>
      </is>
    </nc>
  </rcc>
  <rcc rId="140908" sId="1">
    <nc r="I109">
      <v>173</v>
    </nc>
  </rcc>
  <rcc rId="140909" sId="1">
    <nc r="J109">
      <v>29</v>
    </nc>
  </rcc>
  <rcc rId="140910" sId="1">
    <nc r="L109">
      <v>13</v>
    </nc>
  </rcc>
  <rcc rId="140911" sId="1">
    <nc r="M109" t="inlineStr">
      <is>
        <t>B22</t>
      </is>
    </nc>
  </rcc>
  <rcc rId="140912" sId="1">
    <nc r="N109">
      <v>22</v>
    </nc>
  </rcc>
  <rcc rId="140913" sId="1">
    <nc r="O109" t="inlineStr">
      <is>
        <t>B</t>
      </is>
    </nc>
  </rcc>
  <rcc rId="140914" sId="1">
    <nc r="G110" t="inlineStr">
      <is>
        <t>B38M</t>
      </is>
    </nc>
  </rcc>
  <rcc rId="140915" sId="1">
    <nc r="H110" t="inlineStr">
      <is>
        <t>A.A.G.</t>
      </is>
    </nc>
  </rcc>
  <rcc rId="140916" sId="1">
    <nc r="I110">
      <v>149</v>
    </nc>
  </rcc>
  <rcc rId="140917" sId="1">
    <nc r="J110">
      <v>18</v>
    </nc>
  </rcc>
  <rcc rId="140918" sId="1">
    <nc r="L110">
      <v>11</v>
    </nc>
  </rcc>
  <rcc rId="140919" sId="1">
    <nc r="M110" t="inlineStr">
      <is>
        <t>B20</t>
      </is>
    </nc>
  </rcc>
  <rcc rId="140920" sId="1">
    <nc r="N110">
      <v>20</v>
    </nc>
  </rcc>
  <rcc rId="140921" sId="1">
    <nc r="O110" t="inlineStr">
      <is>
        <t>B</t>
      </is>
    </nc>
  </rcc>
  <rcc rId="140922" sId="1">
    <oc r="I99">
      <v>173</v>
    </oc>
    <nc r="I99" t="inlineStr">
      <is>
        <t>N/A</t>
      </is>
    </nc>
  </rcc>
  <rcc rId="140923" sId="1">
    <oc r="I48">
      <v>175</v>
    </oc>
    <nc r="I48" t="inlineStr">
      <is>
        <t>N/A</t>
      </is>
    </nc>
  </rcc>
  <rcc rId="140924" sId="1">
    <oc r="I28">
      <v>187</v>
    </oc>
    <nc r="I28" t="inlineStr">
      <is>
        <t>N/A</t>
      </is>
    </nc>
  </rcc>
  <rcc rId="140925" sId="1">
    <oc r="I7">
      <v>162</v>
    </oc>
    <nc r="I7" t="inlineStr">
      <is>
        <t>N/A</t>
      </is>
    </nc>
  </rcc>
  <rcc rId="140926" sId="1">
    <oc r="I8">
      <v>169</v>
    </oc>
    <nc r="I8" t="inlineStr">
      <is>
        <t>N/A</t>
      </is>
    </nc>
  </rcc>
  <rcc rId="140927" sId="1">
    <oc r="J8">
      <v>19</v>
    </oc>
    <nc r="J8" t="inlineStr">
      <is>
        <t>N/A</t>
      </is>
    </nc>
  </rcc>
  <rcc rId="140928" sId="1">
    <oc r="J22">
      <v>45</v>
    </oc>
    <nc r="J22" t="inlineStr">
      <is>
        <t>N/A</t>
      </is>
    </nc>
  </rcc>
  <rcc rId="140929" sId="1">
    <oc r="J24">
      <v>7</v>
    </oc>
    <nc r="J24" t="inlineStr">
      <is>
        <t>N/A</t>
      </is>
    </nc>
  </rcc>
  <rcc rId="140930" sId="1">
    <oc r="J29">
      <v>48</v>
    </oc>
    <nc r="J29" t="inlineStr">
      <is>
        <t>N/A</t>
      </is>
    </nc>
  </rcc>
  <rcc rId="140931" sId="1">
    <oc r="J33">
      <v>15</v>
    </oc>
    <nc r="J33" t="inlineStr">
      <is>
        <t>N/A</t>
      </is>
    </nc>
  </rcc>
  <rcc rId="140932" sId="1">
    <oc r="J95">
      <v>9</v>
    </oc>
    <nc r="J95" t="inlineStr">
      <is>
        <t>N/A</t>
      </is>
    </nc>
  </rcc>
  <rcc rId="140933" sId="1">
    <oc r="J97">
      <v>14</v>
    </oc>
    <nc r="J97" t="inlineStr">
      <is>
        <t>N/A</t>
      </is>
    </nc>
  </rcc>
  <rcc rId="140934" sId="1">
    <oc r="J98">
      <v>15</v>
    </oc>
    <nc r="J98" t="inlineStr">
      <is>
        <t>N/A</t>
      </is>
    </nc>
  </rcc>
  <rcc rId="140935" sId="1">
    <oc r="J100">
      <v>7</v>
    </oc>
    <nc r="J100" t="inlineStr">
      <is>
        <t>N/A</t>
      </is>
    </nc>
  </rcc>
  <rcc rId="140936" sId="1">
    <oc r="J101">
      <v>11</v>
    </oc>
    <nc r="J101" t="inlineStr">
      <is>
        <t>N/A</t>
      </is>
    </nc>
  </rcc>
  <rcc rId="140937" sId="1">
    <oc r="J102">
      <v>11</v>
    </oc>
    <nc r="J102" t="inlineStr">
      <is>
        <t>N/A</t>
      </is>
    </nc>
  </rcc>
  <rcc rId="140938" sId="1">
    <nc r="J103" t="inlineStr">
      <is>
        <t>N/A</t>
      </is>
    </nc>
  </rcc>
  <rcc rId="140939" sId="1">
    <nc r="J104" t="inlineStr">
      <is>
        <t>N/A</t>
      </is>
    </nc>
  </rcc>
  <rcc rId="140940" sId="1">
    <nc r="J105" t="inlineStr">
      <is>
        <t>N/A</t>
      </is>
    </nc>
  </rcc>
  <rcc rId="140941" sId="1">
    <nc r="J106" t="inlineStr">
      <is>
        <t>N/A</t>
      </is>
    </nc>
  </rcc>
  <rcc rId="140942" sId="1">
    <nc r="J107" t="inlineStr">
      <is>
        <t>N/A</t>
      </is>
    </nc>
  </rcc>
  <rcc rId="140943" sId="1">
    <nc r="J108" t="inlineStr">
      <is>
        <t>N/A</t>
      </is>
    </nc>
  </rcc>
  <rcc rId="140944" sId="1">
    <nc r="K107" t="inlineStr">
      <is>
        <t>N/A</t>
      </is>
    </nc>
  </rcc>
  <rcc rId="140945" sId="1">
    <nc r="K108" t="inlineStr">
      <is>
        <t>N/A</t>
      </is>
    </nc>
  </rcc>
  <rcc rId="140946" sId="1">
    <nc r="K109" t="inlineStr">
      <is>
        <t>N/A</t>
      </is>
    </nc>
  </rcc>
  <rcc rId="140947" sId="1">
    <nc r="K110" t="inlineStr">
      <is>
        <t>N/A</t>
      </is>
    </nc>
  </rcc>
  <rcc rId="140948" sId="1">
    <oc r="K99">
      <v>47</v>
    </oc>
    <nc r="K99" t="inlineStr">
      <is>
        <t>N/A</t>
      </is>
    </nc>
  </rcc>
  <rcc rId="140949" sId="1">
    <oc r="K60">
      <v>331</v>
    </oc>
    <nc r="K60" t="inlineStr">
      <is>
        <t>N/A</t>
      </is>
    </nc>
  </rcc>
  <rcc rId="140950" sId="1">
    <oc r="K28">
      <v>183</v>
    </oc>
    <nc r="K28" t="inlineStr">
      <is>
        <t>N/A</t>
      </is>
    </nc>
  </rcc>
  <rcc rId="140951" sId="1">
    <oc r="N99">
      <v>1</v>
    </oc>
    <nc r="N99" t="inlineStr">
      <is>
        <t>N/A</t>
      </is>
    </nc>
  </rcc>
  <rcc rId="140952" sId="1">
    <oc r="N28">
      <v>31</v>
    </oc>
    <nc r="N28" t="inlineStr">
      <is>
        <t>N/A</t>
      </is>
    </nc>
  </rcc>
  <rcc rId="140953" sId="1">
    <oc r="N5">
      <v>20</v>
    </oc>
    <nc r="N5" t="inlineStr">
      <is>
        <t>N/A</t>
      </is>
    </nc>
  </rcc>
  <rcc rId="140954" sId="1">
    <oc r="L8">
      <v>11</v>
    </oc>
    <nc r="L8" t="inlineStr">
      <is>
        <t>N/A</t>
      </is>
    </nc>
  </rcc>
  <rcc rId="140955" sId="1">
    <oc r="L28">
      <v>16</v>
    </oc>
    <nc r="L28" t="inlineStr">
      <is>
        <t>N/A</t>
      </is>
    </nc>
  </rcc>
  <rcc rId="140956" sId="1">
    <oc r="L48">
      <v>11</v>
    </oc>
    <nc r="L48" t="inlineStr">
      <is>
        <t>N/A</t>
      </is>
    </nc>
  </rcc>
  <rcc rId="140957" sId="1">
    <oc r="L99">
      <v>2</v>
    </oc>
    <nc r="L99" t="inlineStr">
      <is>
        <t>N/A</t>
      </is>
    </nc>
  </rcc>
  <rcc rId="140958" sId="1">
    <oc r="C3" t="inlineStr">
      <is>
        <t>DWI 1141</t>
      </is>
    </oc>
    <nc r="C3" t="inlineStr">
      <is>
        <t>DWI 6086</t>
      </is>
    </nc>
  </rcc>
  <rcc rId="140959" sId="1">
    <oc r="F3" t="inlineStr">
      <is>
        <t>PUJ-TBC</t>
      </is>
    </oc>
    <nc r="F3" t="inlineStr">
      <is>
        <t>PUJ-GRU</t>
      </is>
    </nc>
  </rcc>
  <rcc rId="140960" sId="1">
    <oc r="C4" t="inlineStr">
      <is>
        <t>UCG 193</t>
      </is>
    </oc>
    <nc r="C4" t="inlineStr">
      <is>
        <t>UAL 17333</t>
      </is>
    </nc>
  </rcc>
  <rcc rId="140961" sId="1">
    <oc r="F4" t="inlineStr">
      <is>
        <t>PUJ-MAR</t>
      </is>
    </oc>
    <nc r="F4" t="inlineStr">
      <is>
        <t>PUJ-DEN</t>
      </is>
    </nc>
  </rcc>
  <rcc rId="140962" sId="1">
    <oc r="F5" t="inlineStr">
      <is>
        <t>PUJ-EZE</t>
      </is>
    </oc>
    <nc r="F5" t="inlineStr">
      <is>
        <t>PUJ-CCS</t>
      </is>
    </nc>
  </rcc>
  <rcc rId="140963" sId="1">
    <oc r="C5" t="inlineStr">
      <is>
        <t>DWI 6200</t>
      </is>
    </oc>
    <nc r="C5" t="inlineStr">
      <is>
        <t>UCG 194</t>
      </is>
    </nc>
  </rcc>
  <rcc rId="140964" sId="1" numFmtId="23">
    <oc r="D6">
      <v>46164.003472222219</v>
    </oc>
    <nc r="D6" t="inlineStr">
      <is>
        <t>OVER</t>
      </is>
    </nc>
  </rcc>
  <rcc rId="140965" sId="1">
    <oc r="C6" t="inlineStr">
      <is>
        <t>ACAC 7257/7257</t>
      </is>
    </oc>
    <nc r="C6" t="inlineStr">
      <is>
        <t>TSC 987</t>
      </is>
    </nc>
  </rcc>
  <rcc rId="140966" sId="1">
    <oc r="F6" t="inlineStr">
      <is>
        <t>UIO-PUJ-YYZ</t>
      </is>
    </oc>
    <nc r="F6" t="inlineStr">
      <is>
        <t>PUJ-YYZ</t>
      </is>
    </nc>
  </rcc>
  <rcc rId="140967" sId="1" numFmtId="23">
    <oc r="D7">
      <v>46164.387499999997</v>
    </oc>
    <nc r="D7" t="inlineStr">
      <is>
        <t>OVER</t>
      </is>
    </nc>
  </rcc>
  <rcc rId="140968" sId="1" numFmtId="23">
    <oc r="D8">
      <v>46164.388194444444</v>
    </oc>
    <nc r="D8" t="inlineStr">
      <is>
        <t>OVER</t>
      </is>
    </nc>
  </rcc>
  <rcc rId="140969" sId="1">
    <oc r="C8" t="inlineStr">
      <is>
        <t>DWI 6771/1732</t>
      </is>
    </oc>
    <nc r="C8" t="inlineStr">
      <is>
        <t>DWI 8000</t>
      </is>
    </nc>
  </rcc>
  <rcc rId="140970" sId="1">
    <oc r="C7" t="inlineStr">
      <is>
        <t>JBU 1473/1474</t>
      </is>
    </oc>
    <nc r="C7" t="inlineStr">
      <is>
        <t>DWI 5420</t>
      </is>
    </nc>
  </rcc>
  <rcc rId="140971" sId="1">
    <oc r="G16" t="inlineStr">
      <is>
        <t>A321</t>
      </is>
    </oc>
    <nc r="G16" t="inlineStr">
      <is>
        <t>A220</t>
      </is>
    </nc>
  </rcc>
  <rcc rId="140972" sId="1">
    <oc r="G90" t="inlineStr">
      <is>
        <t>A320</t>
      </is>
    </oc>
    <nc r="G90" t="inlineStr">
      <is>
        <t>A220</t>
      </is>
    </nc>
  </rcc>
  <rcc rId="140973" sId="1" numFmtId="23">
    <nc r="E110" t="inlineStr">
      <is>
        <t>OVER</t>
      </is>
    </nc>
  </rcc>
  <rcc rId="140974" sId="1">
    <nc r="E109" t="inlineStr">
      <is>
        <t>OVER</t>
      </is>
    </nc>
  </rcc>
  <rcc rId="140975" sId="1">
    <nc r="C109" t="inlineStr">
      <is>
        <t>DWI 7003</t>
      </is>
    </nc>
  </rcc>
  <rcc rId="140976" sId="1">
    <nc r="C110" t="inlineStr">
      <is>
        <t>DWI 7101</t>
      </is>
    </nc>
  </rcc>
  <rcc rId="140977" sId="1" numFmtId="23">
    <oc r="E4">
      <v>46164.9375</v>
    </oc>
    <nc r="E4" t="inlineStr">
      <is>
        <t>OVER</t>
      </is>
    </nc>
  </rcc>
  <rcc rId="140978" sId="1">
    <oc r="K5">
      <v>148</v>
    </oc>
    <nc r="K5" t="inlineStr">
      <is>
        <t>N/A</t>
      </is>
    </nc>
  </rcc>
  <rcc rId="140979" sId="1">
    <oc r="K7">
      <v>50</v>
    </oc>
    <nc r="K7">
      <v>154</v>
    </nc>
  </rcc>
  <rcc rId="140980" sId="1">
    <oc r="K8">
      <v>173</v>
    </oc>
    <nc r="K8">
      <v>179</v>
    </nc>
  </rcc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981" sId="1">
    <oc r="K8">
      <v>179</v>
    </oc>
    <nc r="K8" t="inlineStr">
      <is>
        <t>N/A</t>
      </is>
    </nc>
  </rcc>
  <rcv guid="{FA56863A-4051-4578-AF28-08DCC59DE096}" action="delete"/>
  <rdn rId="0" localSheetId="1" customView="1" name="Z_FA56863A_4051_4578_AF28_08DCC59DE096_.wvu.PrintArea" hidden="1" oldHidden="1">
    <formula>Fecha!$A$1:$O$111</formula>
    <oldFormula>Fecha!$A$1:$O$102</oldFormula>
  </rdn>
  <rdn rId="0" localSheetId="1" customView="1" name="Z_FA56863A_4051_4578_AF28_08DCC59DE096_.wvu.FilterData" hidden="1" oldHidden="1">
    <formula>Fecha!$A$2:$O$111</formula>
    <oldFormula>Fecha!$A$2:$O$111</oldFormula>
  </rdn>
  <rcv guid="{FA56863A-4051-4578-AF28-08DCC59DE096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1">
  <userInfo guid="{954E4315-36F3-4925-879F-9A695BC46B68}" name="Criz M. Silvestre Sarmient" id="-1853072668" dateTime="2026-06-19T18:04:04"/>
</us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printerSettings" Target="../printerSettings/printerSettings13.bin"/><Relationship Id="rId18" Type="http://schemas.openxmlformats.org/officeDocument/2006/relationships/printerSettings" Target="../printerSettings/printerSettings18.bin"/><Relationship Id="rId26" Type="http://schemas.openxmlformats.org/officeDocument/2006/relationships/printerSettings" Target="../printerSettings/printerSettings26.bin"/><Relationship Id="rId39" Type="http://schemas.openxmlformats.org/officeDocument/2006/relationships/printerSettings" Target="../printerSettings/printerSettings39.bin"/><Relationship Id="rId21" Type="http://schemas.openxmlformats.org/officeDocument/2006/relationships/printerSettings" Target="../printerSettings/printerSettings21.bin"/><Relationship Id="rId34" Type="http://schemas.openxmlformats.org/officeDocument/2006/relationships/printerSettings" Target="../printerSettings/printerSettings34.bin"/><Relationship Id="rId42" Type="http://schemas.microsoft.com/office/2006/relationships/wsSortMap" Target="wsSortMap1.xml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6" Type="http://schemas.openxmlformats.org/officeDocument/2006/relationships/printerSettings" Target="../printerSettings/printerSettings16.bin"/><Relationship Id="rId20" Type="http://schemas.openxmlformats.org/officeDocument/2006/relationships/printerSettings" Target="../printerSettings/printerSettings20.bin"/><Relationship Id="rId29" Type="http://schemas.openxmlformats.org/officeDocument/2006/relationships/printerSettings" Target="../printerSettings/printerSettings29.bin"/><Relationship Id="rId41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24" Type="http://schemas.openxmlformats.org/officeDocument/2006/relationships/printerSettings" Target="../printerSettings/printerSettings24.bin"/><Relationship Id="rId32" Type="http://schemas.openxmlformats.org/officeDocument/2006/relationships/printerSettings" Target="../printerSettings/printerSettings32.bin"/><Relationship Id="rId37" Type="http://schemas.openxmlformats.org/officeDocument/2006/relationships/printerSettings" Target="../printerSettings/printerSettings37.bin"/><Relationship Id="rId40" Type="http://schemas.openxmlformats.org/officeDocument/2006/relationships/printerSettings" Target="../printerSettings/printerSettings40.bin"/><Relationship Id="rId5" Type="http://schemas.openxmlformats.org/officeDocument/2006/relationships/printerSettings" Target="../printerSettings/printerSettings5.bin"/><Relationship Id="rId15" Type="http://schemas.openxmlformats.org/officeDocument/2006/relationships/printerSettings" Target="../printerSettings/printerSettings15.bin"/><Relationship Id="rId23" Type="http://schemas.openxmlformats.org/officeDocument/2006/relationships/printerSettings" Target="../printerSettings/printerSettings23.bin"/><Relationship Id="rId28" Type="http://schemas.openxmlformats.org/officeDocument/2006/relationships/printerSettings" Target="../printerSettings/printerSettings28.bin"/><Relationship Id="rId36" Type="http://schemas.openxmlformats.org/officeDocument/2006/relationships/printerSettings" Target="../printerSettings/printerSettings36.bin"/><Relationship Id="rId10" Type="http://schemas.openxmlformats.org/officeDocument/2006/relationships/printerSettings" Target="../printerSettings/printerSettings10.bin"/><Relationship Id="rId19" Type="http://schemas.openxmlformats.org/officeDocument/2006/relationships/printerSettings" Target="../printerSettings/printerSettings19.bin"/><Relationship Id="rId31" Type="http://schemas.openxmlformats.org/officeDocument/2006/relationships/printerSettings" Target="../printerSettings/printerSettings31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Relationship Id="rId14" Type="http://schemas.openxmlformats.org/officeDocument/2006/relationships/printerSettings" Target="../printerSettings/printerSettings14.bin"/><Relationship Id="rId22" Type="http://schemas.openxmlformats.org/officeDocument/2006/relationships/printerSettings" Target="../printerSettings/printerSettings22.bin"/><Relationship Id="rId27" Type="http://schemas.openxmlformats.org/officeDocument/2006/relationships/printerSettings" Target="../printerSettings/printerSettings27.bin"/><Relationship Id="rId30" Type="http://schemas.openxmlformats.org/officeDocument/2006/relationships/printerSettings" Target="../printerSettings/printerSettings30.bin"/><Relationship Id="rId35" Type="http://schemas.openxmlformats.org/officeDocument/2006/relationships/printerSettings" Target="../printerSettings/printerSettings35.bin"/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12" Type="http://schemas.openxmlformats.org/officeDocument/2006/relationships/printerSettings" Target="../printerSettings/printerSettings12.bin"/><Relationship Id="rId17" Type="http://schemas.openxmlformats.org/officeDocument/2006/relationships/printerSettings" Target="../printerSettings/printerSettings17.bin"/><Relationship Id="rId25" Type="http://schemas.openxmlformats.org/officeDocument/2006/relationships/printerSettings" Target="../printerSettings/printerSettings25.bin"/><Relationship Id="rId33" Type="http://schemas.openxmlformats.org/officeDocument/2006/relationships/printerSettings" Target="../printerSettings/printerSettings33.bin"/><Relationship Id="rId38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20"/>
  <sheetViews>
    <sheetView tabSelected="1" view="pageBreakPreview" zoomScale="55" zoomScaleNormal="60" zoomScaleSheetLayoutView="55" zoomScalePageLayoutView="60" workbookViewId="0">
      <selection activeCell="E6" sqref="E6"/>
    </sheetView>
  </sheetViews>
  <sheetFormatPr defaultColWidth="11.42578125" defaultRowHeight="20.25" x14ac:dyDescent="0.3"/>
  <cols>
    <col min="1" max="1" width="17.42578125" style="2" bestFit="1" customWidth="1"/>
    <col min="2" max="2" width="46.28515625" style="1" bestFit="1" customWidth="1"/>
    <col min="3" max="3" width="26.7109375" style="1" customWidth="1"/>
    <col min="4" max="4" width="14.140625" style="1" customWidth="1"/>
    <col min="5" max="5" width="17.5703125" style="1" customWidth="1"/>
    <col min="6" max="6" width="30.28515625" style="1" bestFit="1" customWidth="1"/>
    <col min="7" max="7" width="15.28515625" style="1" customWidth="1"/>
    <col min="8" max="8" width="29.28515625" style="3" customWidth="1"/>
    <col min="9" max="9" width="20.42578125" style="1" customWidth="1"/>
    <col min="10" max="10" width="27.42578125" style="1" customWidth="1"/>
    <col min="11" max="11" width="26.5703125" style="1" bestFit="1" customWidth="1"/>
    <col min="12" max="12" width="16.42578125" style="1" customWidth="1"/>
    <col min="13" max="13" width="27" style="4" customWidth="1"/>
    <col min="14" max="14" width="14.140625" style="1" bestFit="1" customWidth="1"/>
    <col min="15" max="15" width="21.7109375" style="1" customWidth="1"/>
    <col min="16" max="16384" width="11.42578125" style="1"/>
  </cols>
  <sheetData>
    <row r="1" spans="1:15" s="5" customFormat="1" ht="25.5" customHeight="1" thickBot="1" x14ac:dyDescent="0.3">
      <c r="A1" s="6"/>
      <c r="B1" s="6"/>
      <c r="C1" s="6"/>
      <c r="F1" s="6"/>
      <c r="G1" s="6"/>
      <c r="H1" s="24" t="s">
        <v>15</v>
      </c>
      <c r="I1" s="6"/>
      <c r="J1" s="6"/>
      <c r="K1" s="25">
        <f ca="1">TODAY()+1</f>
        <v>46169</v>
      </c>
      <c r="M1" s="6"/>
      <c r="N1" s="6"/>
    </row>
    <row r="2" spans="1:15" s="5" customFormat="1" ht="36.75" customHeight="1" x14ac:dyDescent="0.2">
      <c r="A2" s="10" t="s">
        <v>14</v>
      </c>
      <c r="B2" s="11" t="s">
        <v>8</v>
      </c>
      <c r="C2" s="11" t="s">
        <v>9</v>
      </c>
      <c r="D2" s="11" t="s">
        <v>0</v>
      </c>
      <c r="E2" s="11" t="s">
        <v>1</v>
      </c>
      <c r="F2" s="11" t="s">
        <v>3</v>
      </c>
      <c r="G2" s="11" t="s">
        <v>10</v>
      </c>
      <c r="H2" s="11" t="s">
        <v>2</v>
      </c>
      <c r="I2" s="11" t="s">
        <v>6</v>
      </c>
      <c r="J2" s="11" t="s">
        <v>11</v>
      </c>
      <c r="K2" s="11" t="s">
        <v>7</v>
      </c>
      <c r="L2" s="11" t="s">
        <v>4</v>
      </c>
      <c r="M2" s="11" t="s">
        <v>12</v>
      </c>
      <c r="N2" s="11" t="s">
        <v>5</v>
      </c>
      <c r="O2" s="12" t="s">
        <v>13</v>
      </c>
    </row>
    <row r="3" spans="1:15" s="8" customFormat="1" ht="27" customHeight="1" x14ac:dyDescent="0.35">
      <c r="A3" s="19">
        <v>1</v>
      </c>
      <c r="B3" s="16" t="s">
        <v>17</v>
      </c>
      <c r="C3" s="16" t="s">
        <v>260</v>
      </c>
      <c r="D3" s="17" t="s">
        <v>145</v>
      </c>
      <c r="E3" s="17">
        <v>46169.104166666664</v>
      </c>
      <c r="F3" s="18" t="s">
        <v>263</v>
      </c>
      <c r="G3" s="26" t="s">
        <v>99</v>
      </c>
      <c r="H3" s="26" t="s">
        <v>100</v>
      </c>
      <c r="I3" s="28" t="s">
        <v>144</v>
      </c>
      <c r="J3" s="28" t="s">
        <v>144</v>
      </c>
      <c r="K3" s="28">
        <v>182</v>
      </c>
      <c r="L3" s="28" t="s">
        <v>144</v>
      </c>
      <c r="M3" s="28" t="s">
        <v>101</v>
      </c>
      <c r="N3" s="28">
        <v>23</v>
      </c>
      <c r="O3" s="28" t="s">
        <v>98</v>
      </c>
    </row>
    <row r="4" spans="1:15" s="8" customFormat="1" ht="27" customHeight="1" x14ac:dyDescent="0.35">
      <c r="A4" s="19">
        <v>2</v>
      </c>
      <c r="B4" s="16" t="s">
        <v>17</v>
      </c>
      <c r="C4" s="16" t="s">
        <v>261</v>
      </c>
      <c r="D4" s="17" t="s">
        <v>145</v>
      </c>
      <c r="E4" s="17" t="s">
        <v>145</v>
      </c>
      <c r="F4" s="18" t="s">
        <v>262</v>
      </c>
      <c r="G4" s="26" t="s">
        <v>99</v>
      </c>
      <c r="H4" s="26" t="s">
        <v>100</v>
      </c>
      <c r="I4" s="28" t="s">
        <v>144</v>
      </c>
      <c r="J4" s="28" t="s">
        <v>144</v>
      </c>
      <c r="K4" s="28" t="s">
        <v>144</v>
      </c>
      <c r="L4" s="28" t="s">
        <v>144</v>
      </c>
      <c r="M4" s="28" t="s">
        <v>136</v>
      </c>
      <c r="N4" s="28" t="s">
        <v>137</v>
      </c>
      <c r="O4" s="28" t="s">
        <v>98</v>
      </c>
    </row>
    <row r="5" spans="1:15" s="8" customFormat="1" ht="27" customHeight="1" x14ac:dyDescent="0.35">
      <c r="A5" s="19">
        <v>3</v>
      </c>
      <c r="B5" s="16" t="s">
        <v>77</v>
      </c>
      <c r="C5" s="16" t="s">
        <v>264</v>
      </c>
      <c r="D5" s="17" t="s">
        <v>145</v>
      </c>
      <c r="E5" s="17">
        <v>46171.375</v>
      </c>
      <c r="F5" s="18" t="s">
        <v>265</v>
      </c>
      <c r="G5" s="26" t="s">
        <v>95</v>
      </c>
      <c r="H5" s="26" t="s">
        <v>114</v>
      </c>
      <c r="I5" s="28" t="s">
        <v>144</v>
      </c>
      <c r="J5" s="28" t="s">
        <v>144</v>
      </c>
      <c r="K5" s="28">
        <v>159</v>
      </c>
      <c r="L5" s="28">
        <v>1</v>
      </c>
      <c r="M5" s="28" t="s">
        <v>139</v>
      </c>
      <c r="N5" s="28">
        <v>10</v>
      </c>
      <c r="O5" s="28" t="s">
        <v>113</v>
      </c>
    </row>
    <row r="6" spans="1:15" s="14" customFormat="1" ht="27" customHeight="1" x14ac:dyDescent="0.35">
      <c r="A6" s="19">
        <v>4</v>
      </c>
      <c r="B6" s="20" t="s">
        <v>17</v>
      </c>
      <c r="C6" s="20" t="s">
        <v>266</v>
      </c>
      <c r="D6" s="17" t="s">
        <v>145</v>
      </c>
      <c r="E6" s="21">
        <v>46169.163194444445</v>
      </c>
      <c r="F6" s="22" t="s">
        <v>263</v>
      </c>
      <c r="G6" s="26" t="s">
        <v>99</v>
      </c>
      <c r="H6" s="26" t="s">
        <v>100</v>
      </c>
      <c r="I6" s="28" t="s">
        <v>144</v>
      </c>
      <c r="J6" s="28">
        <v>3</v>
      </c>
      <c r="K6" s="28">
        <v>161</v>
      </c>
      <c r="L6" s="28">
        <v>14</v>
      </c>
      <c r="M6" s="28" t="s">
        <v>190</v>
      </c>
      <c r="N6" s="28">
        <v>21</v>
      </c>
      <c r="O6" s="28" t="s">
        <v>98</v>
      </c>
    </row>
    <row r="7" spans="1:15" s="8" customFormat="1" ht="27" customHeight="1" x14ac:dyDescent="0.35">
      <c r="A7" s="19">
        <v>5</v>
      </c>
      <c r="B7" s="16" t="s">
        <v>17</v>
      </c>
      <c r="C7" s="16" t="s">
        <v>267</v>
      </c>
      <c r="D7" s="17" t="s">
        <v>145</v>
      </c>
      <c r="E7" s="17">
        <v>46169.15625</v>
      </c>
      <c r="F7" s="18" t="s">
        <v>263</v>
      </c>
      <c r="G7" s="26" t="s">
        <v>99</v>
      </c>
      <c r="H7" s="26" t="s">
        <v>100</v>
      </c>
      <c r="I7" s="28" t="s">
        <v>144</v>
      </c>
      <c r="J7" s="28">
        <v>54</v>
      </c>
      <c r="K7" s="28">
        <v>151</v>
      </c>
      <c r="L7" s="28">
        <v>14</v>
      </c>
      <c r="M7" s="28" t="s">
        <v>102</v>
      </c>
      <c r="N7" s="28">
        <v>25</v>
      </c>
      <c r="O7" s="28" t="s">
        <v>98</v>
      </c>
    </row>
    <row r="8" spans="1:15" s="8" customFormat="1" ht="27" customHeight="1" x14ac:dyDescent="0.35">
      <c r="A8" s="19">
        <v>6</v>
      </c>
      <c r="B8" s="16" t="s">
        <v>209</v>
      </c>
      <c r="C8" s="16" t="s">
        <v>210</v>
      </c>
      <c r="D8" s="17">
        <v>46169.25</v>
      </c>
      <c r="E8" s="17">
        <v>46169.333333333336</v>
      </c>
      <c r="F8" s="18" t="s">
        <v>200</v>
      </c>
      <c r="G8" s="26" t="s">
        <v>105</v>
      </c>
      <c r="H8" s="26" t="s">
        <v>106</v>
      </c>
      <c r="I8" s="28">
        <v>238</v>
      </c>
      <c r="J8" s="28" t="s">
        <v>144</v>
      </c>
      <c r="K8" s="28">
        <v>232</v>
      </c>
      <c r="L8" s="28">
        <v>15</v>
      </c>
      <c r="M8" s="28" t="s">
        <v>107</v>
      </c>
      <c r="N8" s="28">
        <v>25</v>
      </c>
      <c r="O8" s="28" t="s">
        <v>98</v>
      </c>
    </row>
    <row r="9" spans="1:15" s="8" customFormat="1" ht="27" customHeight="1" x14ac:dyDescent="0.35">
      <c r="A9" s="19">
        <v>7</v>
      </c>
      <c r="B9" s="16" t="s">
        <v>17</v>
      </c>
      <c r="C9" s="16" t="s">
        <v>211</v>
      </c>
      <c r="D9" s="17">
        <v>46169.260416666664</v>
      </c>
      <c r="E9" s="17">
        <v>46169.313194444447</v>
      </c>
      <c r="F9" s="18" t="s">
        <v>212</v>
      </c>
      <c r="G9" s="26" t="s">
        <v>99</v>
      </c>
      <c r="H9" s="26" t="s">
        <v>100</v>
      </c>
      <c r="I9" s="28">
        <v>157</v>
      </c>
      <c r="J9" s="28">
        <v>6</v>
      </c>
      <c r="K9" s="28">
        <v>81</v>
      </c>
      <c r="L9" s="28">
        <v>16</v>
      </c>
      <c r="M9" s="28" t="s">
        <v>101</v>
      </c>
      <c r="N9" s="28">
        <v>22</v>
      </c>
      <c r="O9" s="28" t="s">
        <v>98</v>
      </c>
    </row>
    <row r="10" spans="1:15" s="14" customFormat="1" ht="27" customHeight="1" x14ac:dyDescent="0.35">
      <c r="A10" s="19">
        <v>8</v>
      </c>
      <c r="B10" s="20" t="s">
        <v>20</v>
      </c>
      <c r="C10" s="20" t="s">
        <v>213</v>
      </c>
      <c r="D10" s="17">
        <v>46169.302083333336</v>
      </c>
      <c r="E10" s="21">
        <v>46169.34375</v>
      </c>
      <c r="F10" s="22" t="s">
        <v>214</v>
      </c>
      <c r="G10" s="26" t="s">
        <v>108</v>
      </c>
      <c r="H10" s="26" t="s">
        <v>109</v>
      </c>
      <c r="I10" s="28" t="s">
        <v>144</v>
      </c>
      <c r="J10" s="28" t="s">
        <v>144</v>
      </c>
      <c r="K10" s="28" t="s">
        <v>144</v>
      </c>
      <c r="L10" s="28" t="s">
        <v>144</v>
      </c>
      <c r="M10" s="28" t="s">
        <v>110</v>
      </c>
      <c r="N10" s="28" t="s">
        <v>144</v>
      </c>
      <c r="O10" s="28" t="s">
        <v>111</v>
      </c>
    </row>
    <row r="11" spans="1:15" s="8" customFormat="1" ht="27" customHeight="1" x14ac:dyDescent="0.35">
      <c r="A11" s="19">
        <v>9</v>
      </c>
      <c r="B11" s="16" t="s">
        <v>24</v>
      </c>
      <c r="C11" s="16" t="s">
        <v>146</v>
      </c>
      <c r="D11" s="17">
        <v>46169.387499999997</v>
      </c>
      <c r="E11" s="17">
        <v>46169.429166666669</v>
      </c>
      <c r="F11" s="18" t="s">
        <v>63</v>
      </c>
      <c r="G11" s="26" t="s">
        <v>118</v>
      </c>
      <c r="H11" s="26" t="s">
        <v>116</v>
      </c>
      <c r="I11" s="28">
        <v>149</v>
      </c>
      <c r="J11" s="28" t="s">
        <v>144</v>
      </c>
      <c r="K11" s="28">
        <v>84</v>
      </c>
      <c r="L11" s="28">
        <v>1</v>
      </c>
      <c r="M11" s="28" t="s">
        <v>119</v>
      </c>
      <c r="N11" s="28">
        <v>11</v>
      </c>
      <c r="O11" s="28" t="s">
        <v>113</v>
      </c>
    </row>
    <row r="12" spans="1:15" s="8" customFormat="1" ht="27" customHeight="1" x14ac:dyDescent="0.35">
      <c r="A12" s="19">
        <v>10</v>
      </c>
      <c r="B12" s="16" t="s">
        <v>17</v>
      </c>
      <c r="C12" s="16" t="s">
        <v>215</v>
      </c>
      <c r="D12" s="17">
        <v>46169.388194444444</v>
      </c>
      <c r="E12" s="17">
        <v>46169.5</v>
      </c>
      <c r="F12" s="18" t="s">
        <v>216</v>
      </c>
      <c r="G12" s="26" t="s">
        <v>99</v>
      </c>
      <c r="H12" s="26" t="s">
        <v>100</v>
      </c>
      <c r="I12" s="28">
        <v>171</v>
      </c>
      <c r="J12" s="28">
        <v>18</v>
      </c>
      <c r="K12" s="28" t="s">
        <v>144</v>
      </c>
      <c r="L12" s="28">
        <v>11</v>
      </c>
      <c r="M12" s="28" t="s">
        <v>107</v>
      </c>
      <c r="N12" s="28">
        <v>25</v>
      </c>
      <c r="O12" s="28" t="s">
        <v>98</v>
      </c>
    </row>
    <row r="13" spans="1:15" s="8" customFormat="1" ht="27" customHeight="1" x14ac:dyDescent="0.35">
      <c r="A13" s="19">
        <v>11</v>
      </c>
      <c r="B13" s="16" t="s">
        <v>24</v>
      </c>
      <c r="C13" s="16" t="s">
        <v>147</v>
      </c>
      <c r="D13" s="17">
        <v>46169.392361111109</v>
      </c>
      <c r="E13" s="17">
        <v>46169.434027777781</v>
      </c>
      <c r="F13" s="18" t="s">
        <v>148</v>
      </c>
      <c r="G13" s="26" t="s">
        <v>118</v>
      </c>
      <c r="H13" s="26" t="s">
        <v>116</v>
      </c>
      <c r="I13" s="28">
        <v>98</v>
      </c>
      <c r="J13" s="28" t="s">
        <v>144</v>
      </c>
      <c r="K13" s="28">
        <v>80</v>
      </c>
      <c r="L13" s="28">
        <v>2</v>
      </c>
      <c r="M13" s="28" t="s">
        <v>117</v>
      </c>
      <c r="N13" s="28">
        <v>13</v>
      </c>
      <c r="O13" s="28" t="s">
        <v>113</v>
      </c>
    </row>
    <row r="14" spans="1:15" s="8" customFormat="1" ht="27" customHeight="1" x14ac:dyDescent="0.35">
      <c r="A14" s="19">
        <v>12</v>
      </c>
      <c r="B14" s="16" t="s">
        <v>24</v>
      </c>
      <c r="C14" s="16" t="s">
        <v>39</v>
      </c>
      <c r="D14" s="17">
        <v>46169.410416666666</v>
      </c>
      <c r="E14" s="17">
        <v>46169.47152777778</v>
      </c>
      <c r="F14" s="18" t="s">
        <v>40</v>
      </c>
      <c r="G14" s="26" t="s">
        <v>118</v>
      </c>
      <c r="H14" s="26" t="s">
        <v>116</v>
      </c>
      <c r="I14" s="28">
        <v>185</v>
      </c>
      <c r="J14" s="28" t="s">
        <v>144</v>
      </c>
      <c r="K14" s="28">
        <v>196</v>
      </c>
      <c r="L14" s="28">
        <v>3</v>
      </c>
      <c r="M14" s="28" t="s">
        <v>121</v>
      </c>
      <c r="N14" s="28">
        <v>15</v>
      </c>
      <c r="O14" s="28" t="s">
        <v>113</v>
      </c>
    </row>
    <row r="15" spans="1:15" s="8" customFormat="1" ht="27" customHeight="1" x14ac:dyDescent="0.35">
      <c r="A15" s="19">
        <v>13</v>
      </c>
      <c r="B15" s="16" t="s">
        <v>17</v>
      </c>
      <c r="C15" s="16" t="s">
        <v>217</v>
      </c>
      <c r="D15" s="17">
        <v>46169.413194444445</v>
      </c>
      <c r="E15" s="17">
        <v>46169.59375</v>
      </c>
      <c r="F15" s="18" t="s">
        <v>218</v>
      </c>
      <c r="G15" s="26" t="s">
        <v>99</v>
      </c>
      <c r="H15" s="26" t="s">
        <v>100</v>
      </c>
      <c r="I15" s="28">
        <v>186</v>
      </c>
      <c r="J15" s="28">
        <v>16</v>
      </c>
      <c r="K15" s="28">
        <v>149</v>
      </c>
      <c r="L15" s="28">
        <v>11</v>
      </c>
      <c r="M15" s="28" t="s">
        <v>191</v>
      </c>
      <c r="N15" s="28">
        <v>23</v>
      </c>
      <c r="O15" s="28" t="s">
        <v>98</v>
      </c>
    </row>
    <row r="16" spans="1:15" s="8" customFormat="1" ht="27" customHeight="1" x14ac:dyDescent="0.35">
      <c r="A16" s="19">
        <v>14</v>
      </c>
      <c r="B16" s="16" t="s">
        <v>219</v>
      </c>
      <c r="C16" s="16" t="s">
        <v>220</v>
      </c>
      <c r="D16" s="17">
        <v>46169.430555555555</v>
      </c>
      <c r="E16" s="17">
        <v>46169.472222222219</v>
      </c>
      <c r="F16" s="18" t="s">
        <v>221</v>
      </c>
      <c r="G16" s="26" t="s">
        <v>120</v>
      </c>
      <c r="H16" s="26" t="s">
        <v>114</v>
      </c>
      <c r="I16" s="28">
        <v>160</v>
      </c>
      <c r="J16" s="28" t="s">
        <v>144</v>
      </c>
      <c r="K16" s="28">
        <v>160</v>
      </c>
      <c r="L16" s="28">
        <v>1</v>
      </c>
      <c r="M16" s="28" t="s">
        <v>206</v>
      </c>
      <c r="N16" s="28">
        <v>9</v>
      </c>
      <c r="O16" s="28" t="s">
        <v>113</v>
      </c>
    </row>
    <row r="17" spans="1:15" s="8" customFormat="1" ht="27" customHeight="1" x14ac:dyDescent="0.35">
      <c r="A17" s="19">
        <v>15</v>
      </c>
      <c r="B17" s="16" t="s">
        <v>21</v>
      </c>
      <c r="C17" s="16" t="s">
        <v>28</v>
      </c>
      <c r="D17" s="17">
        <v>46169.440972222219</v>
      </c>
      <c r="E17" s="17">
        <v>46169.493055555555</v>
      </c>
      <c r="F17" s="18" t="s">
        <v>29</v>
      </c>
      <c r="G17" s="26" t="s">
        <v>112</v>
      </c>
      <c r="H17" s="26" t="s">
        <v>106</v>
      </c>
      <c r="I17" s="28">
        <v>220</v>
      </c>
      <c r="J17" s="28" t="s">
        <v>144</v>
      </c>
      <c r="K17" s="28">
        <v>169</v>
      </c>
      <c r="L17" s="28">
        <v>5</v>
      </c>
      <c r="M17" s="28" t="s">
        <v>122</v>
      </c>
      <c r="N17" s="28">
        <v>4</v>
      </c>
      <c r="O17" s="28" t="s">
        <v>113</v>
      </c>
    </row>
    <row r="18" spans="1:15" s="8" customFormat="1" ht="27" customHeight="1" x14ac:dyDescent="0.35">
      <c r="A18" s="19">
        <v>16</v>
      </c>
      <c r="B18" s="16" t="s">
        <v>21</v>
      </c>
      <c r="C18" s="16" t="s">
        <v>149</v>
      </c>
      <c r="D18" s="17">
        <v>46169.440972222219</v>
      </c>
      <c r="E18" s="17">
        <v>46169.489583333336</v>
      </c>
      <c r="F18" s="18" t="s">
        <v>57</v>
      </c>
      <c r="G18" s="26" t="s">
        <v>138</v>
      </c>
      <c r="H18" s="26" t="s">
        <v>106</v>
      </c>
      <c r="I18" s="28">
        <v>128</v>
      </c>
      <c r="J18" s="28" t="s">
        <v>144</v>
      </c>
      <c r="K18" s="28">
        <v>145</v>
      </c>
      <c r="L18" s="28">
        <v>3</v>
      </c>
      <c r="M18" s="28" t="s">
        <v>115</v>
      </c>
      <c r="N18" s="28">
        <v>1</v>
      </c>
      <c r="O18" s="28" t="s">
        <v>113</v>
      </c>
    </row>
    <row r="19" spans="1:15" s="8" customFormat="1" ht="27" customHeight="1" x14ac:dyDescent="0.35">
      <c r="A19" s="19">
        <v>17</v>
      </c>
      <c r="B19" s="16" t="s">
        <v>24</v>
      </c>
      <c r="C19" s="16" t="s">
        <v>25</v>
      </c>
      <c r="D19" s="17">
        <v>46169.443055555559</v>
      </c>
      <c r="E19" s="17">
        <v>46169.484722222223</v>
      </c>
      <c r="F19" s="18" t="s">
        <v>26</v>
      </c>
      <c r="G19" s="26" t="s">
        <v>120</v>
      </c>
      <c r="H19" s="26" t="s">
        <v>116</v>
      </c>
      <c r="I19" s="28">
        <v>117</v>
      </c>
      <c r="J19" s="28" t="s">
        <v>144</v>
      </c>
      <c r="K19" s="28">
        <v>136</v>
      </c>
      <c r="L19" s="28">
        <v>6</v>
      </c>
      <c r="M19" s="28" t="s">
        <v>119</v>
      </c>
      <c r="N19" s="28">
        <v>12</v>
      </c>
      <c r="O19" s="28" t="s">
        <v>113</v>
      </c>
    </row>
    <row r="20" spans="1:15" s="8" customFormat="1" ht="27" customHeight="1" x14ac:dyDescent="0.35">
      <c r="A20" s="19">
        <v>18</v>
      </c>
      <c r="B20" s="16" t="s">
        <v>18</v>
      </c>
      <c r="C20" s="16" t="s">
        <v>30</v>
      </c>
      <c r="D20" s="17">
        <v>46169.443749999999</v>
      </c>
      <c r="E20" s="17">
        <v>46169.488888888889</v>
      </c>
      <c r="F20" s="18" t="s">
        <v>19</v>
      </c>
      <c r="G20" s="26" t="s">
        <v>123</v>
      </c>
      <c r="H20" s="26" t="s">
        <v>100</v>
      </c>
      <c r="I20" s="28">
        <v>171</v>
      </c>
      <c r="J20" s="28" t="s">
        <v>144</v>
      </c>
      <c r="K20" s="28">
        <v>159</v>
      </c>
      <c r="L20" s="28">
        <v>12</v>
      </c>
      <c r="M20" s="28" t="s">
        <v>103</v>
      </c>
      <c r="N20" s="28">
        <v>26</v>
      </c>
      <c r="O20" s="28" t="s">
        <v>98</v>
      </c>
    </row>
    <row r="21" spans="1:15" s="8" customFormat="1" ht="27" customHeight="1" x14ac:dyDescent="0.35">
      <c r="A21" s="19">
        <v>19</v>
      </c>
      <c r="B21" s="16" t="s">
        <v>16</v>
      </c>
      <c r="C21" s="16" t="s">
        <v>150</v>
      </c>
      <c r="D21" s="17">
        <v>46169.447222222225</v>
      </c>
      <c r="E21" s="17">
        <v>46169.488888888889</v>
      </c>
      <c r="F21" s="18" t="s">
        <v>31</v>
      </c>
      <c r="G21" s="26" t="s">
        <v>112</v>
      </c>
      <c r="H21" s="26" t="s">
        <v>96</v>
      </c>
      <c r="I21" s="28">
        <v>193</v>
      </c>
      <c r="J21" s="28" t="s">
        <v>144</v>
      </c>
      <c r="K21" s="28">
        <v>183</v>
      </c>
      <c r="L21" s="28">
        <v>15</v>
      </c>
      <c r="M21" s="28" t="s">
        <v>125</v>
      </c>
      <c r="N21" s="28">
        <v>27</v>
      </c>
      <c r="O21" s="28" t="s">
        <v>98</v>
      </c>
    </row>
    <row r="22" spans="1:15" s="8" customFormat="1" ht="27" customHeight="1" x14ac:dyDescent="0.35">
      <c r="A22" s="19">
        <v>20</v>
      </c>
      <c r="B22" s="16" t="s">
        <v>16</v>
      </c>
      <c r="C22" s="16" t="s">
        <v>151</v>
      </c>
      <c r="D22" s="17">
        <v>46169.451388888891</v>
      </c>
      <c r="E22" s="17">
        <v>46169.493055555555</v>
      </c>
      <c r="F22" s="18" t="s">
        <v>40</v>
      </c>
      <c r="G22" s="26" t="s">
        <v>95</v>
      </c>
      <c r="H22" s="26" t="s">
        <v>96</v>
      </c>
      <c r="I22" s="28">
        <v>141</v>
      </c>
      <c r="J22" s="28" t="s">
        <v>144</v>
      </c>
      <c r="K22" s="28">
        <v>169</v>
      </c>
      <c r="L22" s="28">
        <v>15</v>
      </c>
      <c r="M22" s="28" t="s">
        <v>124</v>
      </c>
      <c r="N22" s="28">
        <v>28</v>
      </c>
      <c r="O22" s="28" t="s">
        <v>98</v>
      </c>
    </row>
    <row r="23" spans="1:15" s="8" customFormat="1" ht="27" customHeight="1" x14ac:dyDescent="0.35">
      <c r="A23" s="19">
        <v>21</v>
      </c>
      <c r="B23" s="16" t="s">
        <v>24</v>
      </c>
      <c r="C23" s="16" t="s">
        <v>152</v>
      </c>
      <c r="D23" s="17">
        <v>46169.453472222223</v>
      </c>
      <c r="E23" s="17">
        <v>46169.506249999999</v>
      </c>
      <c r="F23" s="18" t="s">
        <v>40</v>
      </c>
      <c r="G23" s="27" t="s">
        <v>112</v>
      </c>
      <c r="H23" s="26" t="s">
        <v>116</v>
      </c>
      <c r="I23" s="28">
        <v>182</v>
      </c>
      <c r="J23" s="28" t="s">
        <v>144</v>
      </c>
      <c r="K23" s="28">
        <v>196</v>
      </c>
      <c r="L23" s="28">
        <v>6</v>
      </c>
      <c r="M23" s="28" t="s">
        <v>117</v>
      </c>
      <c r="N23" s="28">
        <v>13</v>
      </c>
      <c r="O23" s="28" t="s">
        <v>113</v>
      </c>
    </row>
    <row r="24" spans="1:15" s="8" customFormat="1" ht="27" customHeight="1" x14ac:dyDescent="0.35">
      <c r="A24" s="19">
        <v>22</v>
      </c>
      <c r="B24" s="16" t="s">
        <v>16</v>
      </c>
      <c r="C24" s="16" t="s">
        <v>153</v>
      </c>
      <c r="D24" s="17">
        <v>46169.454861111109</v>
      </c>
      <c r="E24" s="17">
        <v>46169.49722222222</v>
      </c>
      <c r="F24" s="18" t="s">
        <v>33</v>
      </c>
      <c r="G24" s="27" t="s">
        <v>112</v>
      </c>
      <c r="H24" s="26" t="s">
        <v>96</v>
      </c>
      <c r="I24" s="28">
        <v>141</v>
      </c>
      <c r="J24" s="28" t="s">
        <v>144</v>
      </c>
      <c r="K24" s="28">
        <v>149</v>
      </c>
      <c r="L24" s="28">
        <v>17</v>
      </c>
      <c r="M24" s="28" t="s">
        <v>129</v>
      </c>
      <c r="N24" s="28">
        <v>31</v>
      </c>
      <c r="O24" s="28" t="s">
        <v>98</v>
      </c>
    </row>
    <row r="25" spans="1:15" s="8" customFormat="1" ht="27" customHeight="1" x14ac:dyDescent="0.35">
      <c r="A25" s="19">
        <v>23</v>
      </c>
      <c r="B25" s="16" t="s">
        <v>18</v>
      </c>
      <c r="C25" s="16" t="s">
        <v>32</v>
      </c>
      <c r="D25" s="17">
        <v>46169.457638888889</v>
      </c>
      <c r="E25" s="17">
        <v>46169.503472222219</v>
      </c>
      <c r="F25" s="18" t="s">
        <v>19</v>
      </c>
      <c r="G25" s="27" t="s">
        <v>123</v>
      </c>
      <c r="H25" s="26" t="s">
        <v>100</v>
      </c>
      <c r="I25" s="28">
        <v>190</v>
      </c>
      <c r="J25" s="28" t="s">
        <v>144</v>
      </c>
      <c r="K25" s="28">
        <v>162</v>
      </c>
      <c r="L25" s="28">
        <v>11</v>
      </c>
      <c r="M25" s="28" t="s">
        <v>101</v>
      </c>
      <c r="N25" s="28">
        <v>22</v>
      </c>
      <c r="O25" s="28" t="s">
        <v>98</v>
      </c>
    </row>
    <row r="26" spans="1:15" s="14" customFormat="1" ht="27" customHeight="1" x14ac:dyDescent="0.35">
      <c r="A26" s="19">
        <v>24</v>
      </c>
      <c r="B26" s="16" t="s">
        <v>17</v>
      </c>
      <c r="C26" s="16" t="s">
        <v>222</v>
      </c>
      <c r="D26" s="17">
        <v>46169.458333333336</v>
      </c>
      <c r="E26" s="17">
        <v>46169.570138888892</v>
      </c>
      <c r="F26" s="18" t="s">
        <v>223</v>
      </c>
      <c r="G26" s="26" t="s">
        <v>99</v>
      </c>
      <c r="H26" s="26" t="s">
        <v>100</v>
      </c>
      <c r="I26" s="28">
        <v>107</v>
      </c>
      <c r="J26" s="28">
        <v>39</v>
      </c>
      <c r="K26" s="28">
        <v>69</v>
      </c>
      <c r="L26" s="28">
        <v>13</v>
      </c>
      <c r="M26" s="28" t="s">
        <v>195</v>
      </c>
      <c r="N26" s="28" t="s">
        <v>137</v>
      </c>
      <c r="O26" s="28" t="s">
        <v>98</v>
      </c>
    </row>
    <row r="27" spans="1:15" s="8" customFormat="1" ht="27" customHeight="1" x14ac:dyDescent="0.35">
      <c r="A27" s="19">
        <v>25</v>
      </c>
      <c r="B27" s="16" t="s">
        <v>16</v>
      </c>
      <c r="C27" s="16" t="s">
        <v>154</v>
      </c>
      <c r="D27" s="17">
        <v>46169.461111111108</v>
      </c>
      <c r="E27" s="17">
        <v>46169.50277777778</v>
      </c>
      <c r="F27" s="18" t="s">
        <v>57</v>
      </c>
      <c r="G27" s="26" t="s">
        <v>95</v>
      </c>
      <c r="H27" s="26" t="s">
        <v>96</v>
      </c>
      <c r="I27" s="28">
        <v>133</v>
      </c>
      <c r="J27" s="28" t="s">
        <v>144</v>
      </c>
      <c r="K27" s="28">
        <v>154</v>
      </c>
      <c r="L27" s="28">
        <v>16</v>
      </c>
      <c r="M27" s="28" t="s">
        <v>126</v>
      </c>
      <c r="N27" s="28">
        <v>30</v>
      </c>
      <c r="O27" s="28" t="s">
        <v>98</v>
      </c>
    </row>
    <row r="28" spans="1:15" s="8" customFormat="1" ht="27" customHeight="1" x14ac:dyDescent="0.35">
      <c r="A28" s="19">
        <v>26</v>
      </c>
      <c r="B28" s="16" t="s">
        <v>17</v>
      </c>
      <c r="C28" s="16" t="s">
        <v>199</v>
      </c>
      <c r="D28" s="17">
        <v>46169.465277777781</v>
      </c>
      <c r="E28" s="17">
        <v>46169.628472222219</v>
      </c>
      <c r="F28" s="18" t="s">
        <v>200</v>
      </c>
      <c r="G28" s="26" t="s">
        <v>99</v>
      </c>
      <c r="H28" s="26" t="s">
        <v>100</v>
      </c>
      <c r="I28" s="28">
        <v>87</v>
      </c>
      <c r="J28" s="28">
        <v>20</v>
      </c>
      <c r="K28" s="28">
        <v>173</v>
      </c>
      <c r="L28" s="28">
        <v>13</v>
      </c>
      <c r="M28" s="28" t="s">
        <v>190</v>
      </c>
      <c r="N28" s="28" t="s">
        <v>194</v>
      </c>
      <c r="O28" s="28" t="s">
        <v>98</v>
      </c>
    </row>
    <row r="29" spans="1:15" s="8" customFormat="1" ht="27" customHeight="1" x14ac:dyDescent="0.35">
      <c r="A29" s="19">
        <v>27</v>
      </c>
      <c r="B29" s="16" t="s">
        <v>34</v>
      </c>
      <c r="C29" s="16" t="s">
        <v>35</v>
      </c>
      <c r="D29" s="17">
        <v>46169.475694444445</v>
      </c>
      <c r="E29" s="17">
        <v>46169.534722222219</v>
      </c>
      <c r="F29" s="18" t="s">
        <v>36</v>
      </c>
      <c r="G29" s="26" t="s">
        <v>118</v>
      </c>
      <c r="H29" s="26" t="s">
        <v>34</v>
      </c>
      <c r="I29" s="28">
        <v>156</v>
      </c>
      <c r="J29" s="28" t="s">
        <v>144</v>
      </c>
      <c r="K29" s="28">
        <v>173</v>
      </c>
      <c r="L29" s="28">
        <v>2</v>
      </c>
      <c r="M29" s="28" t="s">
        <v>127</v>
      </c>
      <c r="N29" s="28">
        <v>2</v>
      </c>
      <c r="O29" s="28" t="s">
        <v>113</v>
      </c>
    </row>
    <row r="30" spans="1:15" s="8" customFormat="1" ht="27" customHeight="1" x14ac:dyDescent="0.35">
      <c r="A30" s="19">
        <v>28</v>
      </c>
      <c r="B30" s="16" t="s">
        <v>17</v>
      </c>
      <c r="C30" s="16" t="s">
        <v>224</v>
      </c>
      <c r="D30" s="17">
        <v>46169.481249999997</v>
      </c>
      <c r="E30" s="17">
        <v>46169.53125</v>
      </c>
      <c r="F30" s="18" t="s">
        <v>225</v>
      </c>
      <c r="G30" s="26" t="s">
        <v>99</v>
      </c>
      <c r="H30" s="26" t="s">
        <v>100</v>
      </c>
      <c r="I30" s="28">
        <v>129</v>
      </c>
      <c r="J30" s="28">
        <v>6</v>
      </c>
      <c r="K30" s="28">
        <v>150</v>
      </c>
      <c r="L30" s="28">
        <v>11</v>
      </c>
      <c r="M30" s="28" t="s">
        <v>253</v>
      </c>
      <c r="N30" s="28">
        <v>25</v>
      </c>
      <c r="O30" s="28" t="s">
        <v>98</v>
      </c>
    </row>
    <row r="31" spans="1:15" s="8" customFormat="1" ht="27" customHeight="1" x14ac:dyDescent="0.35">
      <c r="A31" s="19">
        <v>29</v>
      </c>
      <c r="B31" s="16" t="s">
        <v>42</v>
      </c>
      <c r="C31" s="16" t="s">
        <v>43</v>
      </c>
      <c r="D31" s="17">
        <v>46169.486111111109</v>
      </c>
      <c r="E31" s="17">
        <v>46169.545138888891</v>
      </c>
      <c r="F31" s="18" t="s">
        <v>44</v>
      </c>
      <c r="G31" s="26" t="s">
        <v>112</v>
      </c>
      <c r="H31" s="26" t="s">
        <v>114</v>
      </c>
      <c r="I31" s="28">
        <v>190</v>
      </c>
      <c r="J31" s="28" t="s">
        <v>144</v>
      </c>
      <c r="K31" s="28">
        <v>175</v>
      </c>
      <c r="L31" s="28">
        <v>18</v>
      </c>
      <c r="M31" s="28" t="s">
        <v>97</v>
      </c>
      <c r="N31" s="28">
        <v>32</v>
      </c>
      <c r="O31" s="28" t="s">
        <v>98</v>
      </c>
    </row>
    <row r="32" spans="1:15" s="14" customFormat="1" ht="27" customHeight="1" x14ac:dyDescent="0.35">
      <c r="A32" s="19">
        <v>30</v>
      </c>
      <c r="B32" s="16" t="s">
        <v>41</v>
      </c>
      <c r="C32" s="16" t="s">
        <v>226</v>
      </c>
      <c r="D32" s="17">
        <v>46169.486111111109</v>
      </c>
      <c r="E32" s="17">
        <v>46169.520833333336</v>
      </c>
      <c r="F32" s="18" t="s">
        <v>227</v>
      </c>
      <c r="G32" s="26" t="s">
        <v>118</v>
      </c>
      <c r="H32" s="26" t="s">
        <v>132</v>
      </c>
      <c r="I32" s="28">
        <v>181</v>
      </c>
      <c r="J32" s="28" t="s">
        <v>144</v>
      </c>
      <c r="K32" s="28">
        <v>120</v>
      </c>
      <c r="L32" s="28">
        <v>1</v>
      </c>
      <c r="M32" s="28" t="s">
        <v>121</v>
      </c>
      <c r="N32" s="28">
        <v>16</v>
      </c>
      <c r="O32" s="28" t="s">
        <v>113</v>
      </c>
    </row>
    <row r="33" spans="1:15" s="14" customFormat="1" ht="27" customHeight="1" x14ac:dyDescent="0.35">
      <c r="A33" s="19">
        <v>31</v>
      </c>
      <c r="B33" s="16" t="s">
        <v>17</v>
      </c>
      <c r="C33" s="16" t="s">
        <v>228</v>
      </c>
      <c r="D33" s="17">
        <v>46169.486111111109</v>
      </c>
      <c r="E33" s="17">
        <v>46169.561805555553</v>
      </c>
      <c r="F33" s="18" t="s">
        <v>229</v>
      </c>
      <c r="G33" s="26" t="s">
        <v>99</v>
      </c>
      <c r="H33" s="26" t="s">
        <v>100</v>
      </c>
      <c r="I33" s="28" t="s">
        <v>144</v>
      </c>
      <c r="J33" s="28" t="s">
        <v>144</v>
      </c>
      <c r="K33" s="28">
        <v>164</v>
      </c>
      <c r="L33" s="28">
        <v>11</v>
      </c>
      <c r="M33" s="28" t="s">
        <v>102</v>
      </c>
      <c r="N33" s="28">
        <v>21</v>
      </c>
      <c r="O33" s="28" t="s">
        <v>98</v>
      </c>
    </row>
    <row r="34" spans="1:15" s="14" customFormat="1" ht="27" customHeight="1" x14ac:dyDescent="0.35">
      <c r="A34" s="19">
        <v>32</v>
      </c>
      <c r="B34" s="16" t="s">
        <v>18</v>
      </c>
      <c r="C34" s="16" t="s">
        <v>45</v>
      </c>
      <c r="D34" s="17">
        <v>46169.489583333336</v>
      </c>
      <c r="E34" s="17">
        <v>46169.53402777778</v>
      </c>
      <c r="F34" s="18" t="s">
        <v>19</v>
      </c>
      <c r="G34" s="26" t="s">
        <v>123</v>
      </c>
      <c r="H34" s="26" t="s">
        <v>100</v>
      </c>
      <c r="I34" s="28">
        <v>175</v>
      </c>
      <c r="J34" s="28" t="s">
        <v>144</v>
      </c>
      <c r="K34" s="28">
        <v>156</v>
      </c>
      <c r="L34" s="28">
        <v>11</v>
      </c>
      <c r="M34" s="28" t="s">
        <v>104</v>
      </c>
      <c r="N34" s="28">
        <v>20</v>
      </c>
      <c r="O34" s="28" t="s">
        <v>98</v>
      </c>
    </row>
    <row r="35" spans="1:15" s="14" customFormat="1" ht="27" customHeight="1" x14ac:dyDescent="0.35">
      <c r="A35" s="19">
        <v>33</v>
      </c>
      <c r="B35" s="16" t="s">
        <v>34</v>
      </c>
      <c r="C35" s="16" t="s">
        <v>46</v>
      </c>
      <c r="D35" s="17">
        <v>46169.493055555555</v>
      </c>
      <c r="E35" s="17">
        <v>46169.541666666664</v>
      </c>
      <c r="F35" s="18" t="s">
        <v>47</v>
      </c>
      <c r="G35" s="26" t="s">
        <v>118</v>
      </c>
      <c r="H35" s="26" t="s">
        <v>34</v>
      </c>
      <c r="I35" s="28">
        <v>172</v>
      </c>
      <c r="J35" s="28" t="s">
        <v>144</v>
      </c>
      <c r="K35" s="28">
        <v>175</v>
      </c>
      <c r="L35" s="28">
        <v>3</v>
      </c>
      <c r="M35" s="28" t="s">
        <v>206</v>
      </c>
      <c r="N35" s="28">
        <v>8</v>
      </c>
      <c r="O35" s="28" t="s">
        <v>113</v>
      </c>
    </row>
    <row r="36" spans="1:15" s="14" customFormat="1" ht="27" customHeight="1" x14ac:dyDescent="0.35">
      <c r="A36" s="19">
        <v>34</v>
      </c>
      <c r="B36" s="16" t="s">
        <v>17</v>
      </c>
      <c r="C36" s="16" t="s">
        <v>230</v>
      </c>
      <c r="D36" s="17">
        <v>46169.493055555555</v>
      </c>
      <c r="E36" s="17">
        <v>46169.542361111111</v>
      </c>
      <c r="F36" s="18" t="s">
        <v>82</v>
      </c>
      <c r="G36" s="26" t="s">
        <v>99</v>
      </c>
      <c r="H36" s="26" t="s">
        <v>100</v>
      </c>
      <c r="I36" s="28">
        <v>115</v>
      </c>
      <c r="J36" s="28">
        <v>28</v>
      </c>
      <c r="K36" s="28">
        <v>150</v>
      </c>
      <c r="L36" s="28">
        <v>12</v>
      </c>
      <c r="M36" s="28" t="s">
        <v>107</v>
      </c>
      <c r="N36" s="28">
        <v>24</v>
      </c>
      <c r="O36" s="28" t="s">
        <v>98</v>
      </c>
    </row>
    <row r="37" spans="1:15" s="14" customFormat="1" ht="27" customHeight="1" x14ac:dyDescent="0.35">
      <c r="A37" s="19">
        <v>35</v>
      </c>
      <c r="B37" s="16" t="s">
        <v>17</v>
      </c>
      <c r="C37" s="16" t="s">
        <v>231</v>
      </c>
      <c r="D37" s="17">
        <v>46169.496527777781</v>
      </c>
      <c r="E37" s="17">
        <v>46169.553472222222</v>
      </c>
      <c r="F37" s="18" t="s">
        <v>232</v>
      </c>
      <c r="G37" s="26" t="s">
        <v>99</v>
      </c>
      <c r="H37" s="26" t="s">
        <v>100</v>
      </c>
      <c r="I37" s="28">
        <v>129</v>
      </c>
      <c r="J37" s="28" t="s">
        <v>144</v>
      </c>
      <c r="K37" s="28">
        <v>183</v>
      </c>
      <c r="L37" s="28">
        <v>12</v>
      </c>
      <c r="M37" s="28" t="s">
        <v>103</v>
      </c>
      <c r="N37" s="28">
        <v>25</v>
      </c>
      <c r="O37" s="28" t="s">
        <v>98</v>
      </c>
    </row>
    <row r="38" spans="1:15" s="14" customFormat="1" ht="27" customHeight="1" x14ac:dyDescent="0.35">
      <c r="A38" s="19">
        <v>36</v>
      </c>
      <c r="B38" s="16" t="s">
        <v>17</v>
      </c>
      <c r="C38" s="16" t="s">
        <v>233</v>
      </c>
      <c r="D38" s="17">
        <v>46169.5</v>
      </c>
      <c r="E38" s="17">
        <v>46169.541666666664</v>
      </c>
      <c r="F38" s="18" t="s">
        <v>234</v>
      </c>
      <c r="G38" s="26" t="s">
        <v>99</v>
      </c>
      <c r="H38" s="26" t="s">
        <v>100</v>
      </c>
      <c r="I38" s="28">
        <v>91</v>
      </c>
      <c r="J38" s="28">
        <v>31</v>
      </c>
      <c r="K38" s="28">
        <v>158</v>
      </c>
      <c r="L38" s="28">
        <v>13</v>
      </c>
      <c r="M38" s="28" t="s">
        <v>189</v>
      </c>
      <c r="N38" s="28" t="s">
        <v>254</v>
      </c>
      <c r="O38" s="28" t="s">
        <v>98</v>
      </c>
    </row>
    <row r="39" spans="1:15" s="14" customFormat="1" ht="27" customHeight="1" x14ac:dyDescent="0.35">
      <c r="A39" s="19">
        <v>37</v>
      </c>
      <c r="B39" s="16" t="s">
        <v>24</v>
      </c>
      <c r="C39" s="16" t="s">
        <v>155</v>
      </c>
      <c r="D39" s="17">
        <v>46169.503472222219</v>
      </c>
      <c r="E39" s="17">
        <v>46169.559027777781</v>
      </c>
      <c r="F39" s="18" t="s">
        <v>40</v>
      </c>
      <c r="G39" s="26" t="s">
        <v>112</v>
      </c>
      <c r="H39" s="26" t="s">
        <v>116</v>
      </c>
      <c r="I39" s="28">
        <v>183</v>
      </c>
      <c r="J39" s="28" t="s">
        <v>144</v>
      </c>
      <c r="K39" s="28">
        <v>196</v>
      </c>
      <c r="L39" s="28">
        <v>5</v>
      </c>
      <c r="M39" s="28" t="s">
        <v>119</v>
      </c>
      <c r="N39" s="28">
        <v>12</v>
      </c>
      <c r="O39" s="28" t="s">
        <v>113</v>
      </c>
    </row>
    <row r="40" spans="1:15" s="14" customFormat="1" ht="27" customHeight="1" x14ac:dyDescent="0.35">
      <c r="A40" s="19">
        <v>38</v>
      </c>
      <c r="B40" s="16" t="s">
        <v>24</v>
      </c>
      <c r="C40" s="16" t="s">
        <v>156</v>
      </c>
      <c r="D40" s="17">
        <v>46169.508333333331</v>
      </c>
      <c r="E40" s="17">
        <v>46169.553472222222</v>
      </c>
      <c r="F40" s="18" t="s">
        <v>22</v>
      </c>
      <c r="G40" s="26" t="s">
        <v>118</v>
      </c>
      <c r="H40" s="26" t="s">
        <v>116</v>
      </c>
      <c r="I40" s="28">
        <v>155</v>
      </c>
      <c r="J40" s="28" t="s">
        <v>144</v>
      </c>
      <c r="K40" s="28">
        <v>196</v>
      </c>
      <c r="L40" s="28">
        <v>3</v>
      </c>
      <c r="M40" s="28" t="s">
        <v>122</v>
      </c>
      <c r="N40" s="28">
        <v>10</v>
      </c>
      <c r="O40" s="28" t="s">
        <v>113</v>
      </c>
    </row>
    <row r="41" spans="1:15" s="14" customFormat="1" ht="27" customHeight="1" x14ac:dyDescent="0.35">
      <c r="A41" s="19">
        <v>39</v>
      </c>
      <c r="B41" s="16" t="s">
        <v>49</v>
      </c>
      <c r="C41" s="16" t="s">
        <v>50</v>
      </c>
      <c r="D41" s="17">
        <v>46169.510416666664</v>
      </c>
      <c r="E41" s="17">
        <v>46169.559027777781</v>
      </c>
      <c r="F41" s="18" t="s">
        <v>51</v>
      </c>
      <c r="G41" s="26" t="s">
        <v>134</v>
      </c>
      <c r="H41" s="26" t="s">
        <v>135</v>
      </c>
      <c r="I41" s="28">
        <v>157</v>
      </c>
      <c r="J41" s="28" t="s">
        <v>144</v>
      </c>
      <c r="K41" s="28">
        <v>139</v>
      </c>
      <c r="L41" s="28">
        <v>13</v>
      </c>
      <c r="M41" s="28" t="s">
        <v>101</v>
      </c>
      <c r="N41" s="28">
        <v>22</v>
      </c>
      <c r="O41" s="28" t="s">
        <v>98</v>
      </c>
    </row>
    <row r="42" spans="1:15" s="14" customFormat="1" ht="27" customHeight="1" x14ac:dyDescent="0.35">
      <c r="A42" s="19">
        <v>40</v>
      </c>
      <c r="B42" s="16" t="s">
        <v>18</v>
      </c>
      <c r="C42" s="16" t="s">
        <v>198</v>
      </c>
      <c r="D42" s="17">
        <v>46169.513194444444</v>
      </c>
      <c r="E42" s="17">
        <v>46169.5625</v>
      </c>
      <c r="F42" s="18" t="s">
        <v>19</v>
      </c>
      <c r="G42" s="26" t="s">
        <v>95</v>
      </c>
      <c r="H42" s="26" t="s">
        <v>100</v>
      </c>
      <c r="I42" s="28">
        <v>169</v>
      </c>
      <c r="J42" s="28" t="s">
        <v>144</v>
      </c>
      <c r="K42" s="28">
        <v>155</v>
      </c>
      <c r="L42" s="28">
        <v>13</v>
      </c>
      <c r="M42" s="28" t="s">
        <v>103</v>
      </c>
      <c r="N42" s="28">
        <v>26</v>
      </c>
      <c r="O42" s="28" t="s">
        <v>98</v>
      </c>
    </row>
    <row r="43" spans="1:15" s="14" customFormat="1" ht="27" customHeight="1" x14ac:dyDescent="0.35">
      <c r="A43" s="19">
        <v>41</v>
      </c>
      <c r="B43" s="16" t="s">
        <v>42</v>
      </c>
      <c r="C43" s="16" t="s">
        <v>52</v>
      </c>
      <c r="D43" s="17">
        <v>46169.515972222223</v>
      </c>
      <c r="E43" s="17">
        <v>46169.574999999997</v>
      </c>
      <c r="F43" s="18" t="s">
        <v>40</v>
      </c>
      <c r="G43" s="26" t="s">
        <v>118</v>
      </c>
      <c r="H43" s="26" t="s">
        <v>114</v>
      </c>
      <c r="I43" s="28">
        <v>189</v>
      </c>
      <c r="J43" s="28" t="s">
        <v>144</v>
      </c>
      <c r="K43" s="28">
        <v>183</v>
      </c>
      <c r="L43" s="28">
        <v>15</v>
      </c>
      <c r="M43" s="28" t="s">
        <v>129</v>
      </c>
      <c r="N43" s="28">
        <v>31</v>
      </c>
      <c r="O43" s="28" t="s">
        <v>98</v>
      </c>
    </row>
    <row r="44" spans="1:15" s="14" customFormat="1" ht="27" customHeight="1" x14ac:dyDescent="0.35">
      <c r="A44" s="19">
        <v>42</v>
      </c>
      <c r="B44" s="16" t="s">
        <v>24</v>
      </c>
      <c r="C44" s="16" t="s">
        <v>157</v>
      </c>
      <c r="D44" s="17">
        <v>46169.520138888889</v>
      </c>
      <c r="E44" s="17">
        <v>46169.56527777778</v>
      </c>
      <c r="F44" s="18" t="s">
        <v>27</v>
      </c>
      <c r="G44" s="26" t="s">
        <v>118</v>
      </c>
      <c r="H44" s="26" t="s">
        <v>116</v>
      </c>
      <c r="I44" s="28">
        <v>144</v>
      </c>
      <c r="J44" s="28" t="s">
        <v>144</v>
      </c>
      <c r="K44" s="28">
        <v>83</v>
      </c>
      <c r="L44" s="28">
        <v>2</v>
      </c>
      <c r="M44" s="28" t="s">
        <v>117</v>
      </c>
      <c r="N44" s="28">
        <v>14</v>
      </c>
      <c r="O44" s="28" t="s">
        <v>113</v>
      </c>
    </row>
    <row r="45" spans="1:15" s="14" customFormat="1" ht="27" customHeight="1" x14ac:dyDescent="0.35">
      <c r="A45" s="19">
        <v>43</v>
      </c>
      <c r="B45" s="16" t="s">
        <v>48</v>
      </c>
      <c r="C45" s="16" t="s">
        <v>158</v>
      </c>
      <c r="D45" s="17">
        <v>46169.527777777781</v>
      </c>
      <c r="E45" s="17">
        <v>46169.569444444445</v>
      </c>
      <c r="F45" s="18" t="s">
        <v>159</v>
      </c>
      <c r="G45" s="26" t="s">
        <v>123</v>
      </c>
      <c r="H45" s="26" t="s">
        <v>132</v>
      </c>
      <c r="I45" s="28">
        <v>167</v>
      </c>
      <c r="J45" s="28" t="s">
        <v>144</v>
      </c>
      <c r="K45" s="28">
        <v>167</v>
      </c>
      <c r="L45" s="28">
        <v>15</v>
      </c>
      <c r="M45" s="28" t="s">
        <v>126</v>
      </c>
      <c r="N45" s="28">
        <v>30</v>
      </c>
      <c r="O45" s="28" t="s">
        <v>98</v>
      </c>
    </row>
    <row r="46" spans="1:15" s="14" customFormat="1" ht="27" customHeight="1" x14ac:dyDescent="0.35">
      <c r="A46" s="19">
        <v>44</v>
      </c>
      <c r="B46" s="16" t="s">
        <v>23</v>
      </c>
      <c r="C46" s="16" t="s">
        <v>160</v>
      </c>
      <c r="D46" s="17">
        <v>46169.527777777781</v>
      </c>
      <c r="E46" s="17">
        <v>46169.565972222219</v>
      </c>
      <c r="F46" s="18" t="s">
        <v>65</v>
      </c>
      <c r="G46" s="26" t="s">
        <v>99</v>
      </c>
      <c r="H46" s="26" t="s">
        <v>114</v>
      </c>
      <c r="I46" s="28">
        <v>47</v>
      </c>
      <c r="J46" s="28" t="s">
        <v>144</v>
      </c>
      <c r="K46" s="28">
        <v>149</v>
      </c>
      <c r="L46" s="28">
        <v>6</v>
      </c>
      <c r="M46" s="28" t="s">
        <v>115</v>
      </c>
      <c r="N46" s="28">
        <v>5</v>
      </c>
      <c r="O46" s="28" t="s">
        <v>113</v>
      </c>
    </row>
    <row r="47" spans="1:15" s="14" customFormat="1" ht="27" customHeight="1" x14ac:dyDescent="0.35">
      <c r="A47" s="19">
        <v>45</v>
      </c>
      <c r="B47" s="16" t="s">
        <v>49</v>
      </c>
      <c r="C47" s="16" t="s">
        <v>53</v>
      </c>
      <c r="D47" s="17">
        <v>46169.527777777781</v>
      </c>
      <c r="E47" s="17">
        <v>46169.576388888891</v>
      </c>
      <c r="F47" s="18" t="s">
        <v>54</v>
      </c>
      <c r="G47" s="26" t="s">
        <v>134</v>
      </c>
      <c r="H47" s="26" t="s">
        <v>135</v>
      </c>
      <c r="I47" s="28">
        <v>169</v>
      </c>
      <c r="J47" s="28" t="s">
        <v>144</v>
      </c>
      <c r="K47" s="28">
        <v>169</v>
      </c>
      <c r="L47" s="28">
        <v>11</v>
      </c>
      <c r="M47" s="28" t="s">
        <v>193</v>
      </c>
      <c r="N47" s="28" t="s">
        <v>192</v>
      </c>
      <c r="O47" s="28" t="s">
        <v>98</v>
      </c>
    </row>
    <row r="48" spans="1:15" s="8" customFormat="1" ht="27" customHeight="1" x14ac:dyDescent="0.35">
      <c r="A48" s="19">
        <v>46</v>
      </c>
      <c r="B48" s="16" t="s">
        <v>18</v>
      </c>
      <c r="C48" s="16" t="s">
        <v>55</v>
      </c>
      <c r="D48" s="17">
        <v>46169.530555555553</v>
      </c>
      <c r="E48" s="17">
        <v>46169.57916666667</v>
      </c>
      <c r="F48" s="18" t="s">
        <v>19</v>
      </c>
      <c r="G48" s="26" t="s">
        <v>123</v>
      </c>
      <c r="H48" s="26" t="s">
        <v>100</v>
      </c>
      <c r="I48" s="28">
        <v>170</v>
      </c>
      <c r="J48" s="28" t="s">
        <v>144</v>
      </c>
      <c r="K48" s="28">
        <v>156</v>
      </c>
      <c r="L48" s="28">
        <v>11</v>
      </c>
      <c r="M48" s="28" t="s">
        <v>104</v>
      </c>
      <c r="N48" s="28">
        <v>20</v>
      </c>
      <c r="O48" s="28" t="s">
        <v>98</v>
      </c>
    </row>
    <row r="49" spans="1:15" s="14" customFormat="1" ht="27" customHeight="1" x14ac:dyDescent="0.35">
      <c r="A49" s="19">
        <v>47</v>
      </c>
      <c r="B49" s="16" t="s">
        <v>16</v>
      </c>
      <c r="C49" s="16" t="s">
        <v>161</v>
      </c>
      <c r="D49" s="17">
        <v>46169.533333333333</v>
      </c>
      <c r="E49" s="17">
        <v>46169.578472222223</v>
      </c>
      <c r="F49" s="18" t="s">
        <v>31</v>
      </c>
      <c r="G49" s="26" t="s">
        <v>112</v>
      </c>
      <c r="H49" s="26" t="s">
        <v>96</v>
      </c>
      <c r="I49" s="28">
        <v>179</v>
      </c>
      <c r="J49" s="28" t="s">
        <v>144</v>
      </c>
      <c r="K49" s="28">
        <v>179</v>
      </c>
      <c r="L49" s="28">
        <v>16</v>
      </c>
      <c r="M49" s="28" t="s">
        <v>125</v>
      </c>
      <c r="N49" s="28">
        <v>27</v>
      </c>
      <c r="O49" s="28" t="s">
        <v>98</v>
      </c>
    </row>
    <row r="50" spans="1:15" s="14" customFormat="1" ht="27" customHeight="1" x14ac:dyDescent="0.35">
      <c r="A50" s="19">
        <v>48</v>
      </c>
      <c r="B50" s="16" t="s">
        <v>16</v>
      </c>
      <c r="C50" s="16" t="s">
        <v>162</v>
      </c>
      <c r="D50" s="17">
        <v>46169.536111111112</v>
      </c>
      <c r="E50" s="17">
        <v>46169.577777777777</v>
      </c>
      <c r="F50" s="18" t="s">
        <v>57</v>
      </c>
      <c r="G50" s="26" t="s">
        <v>95</v>
      </c>
      <c r="H50" s="26" t="s">
        <v>96</v>
      </c>
      <c r="I50" s="28">
        <v>127</v>
      </c>
      <c r="J50" s="28" t="s">
        <v>144</v>
      </c>
      <c r="K50" s="28">
        <v>147</v>
      </c>
      <c r="L50" s="28">
        <v>16</v>
      </c>
      <c r="M50" s="28" t="s">
        <v>124</v>
      </c>
      <c r="N50" s="28">
        <v>28</v>
      </c>
      <c r="O50" s="28" t="s">
        <v>98</v>
      </c>
    </row>
    <row r="51" spans="1:15" s="14" customFormat="1" ht="27" customHeight="1" x14ac:dyDescent="0.35">
      <c r="A51" s="19">
        <v>49</v>
      </c>
      <c r="B51" s="16" t="s">
        <v>56</v>
      </c>
      <c r="C51" s="16" t="s">
        <v>235</v>
      </c>
      <c r="D51" s="17">
        <v>46169.538194444445</v>
      </c>
      <c r="E51" s="17">
        <v>46169.570833333331</v>
      </c>
      <c r="F51" s="18" t="s">
        <v>36</v>
      </c>
      <c r="G51" s="26" t="s">
        <v>123</v>
      </c>
      <c r="H51" s="26" t="s">
        <v>114</v>
      </c>
      <c r="I51" s="28">
        <v>181</v>
      </c>
      <c r="J51" s="28" t="s">
        <v>144</v>
      </c>
      <c r="K51" s="28">
        <v>169</v>
      </c>
      <c r="L51" s="28">
        <v>1</v>
      </c>
      <c r="M51" s="28" t="s">
        <v>121</v>
      </c>
      <c r="N51" s="28">
        <v>15</v>
      </c>
      <c r="O51" s="28" t="s">
        <v>113</v>
      </c>
    </row>
    <row r="52" spans="1:15" s="8" customFormat="1" ht="27" customHeight="1" x14ac:dyDescent="0.35">
      <c r="A52" s="19">
        <v>50</v>
      </c>
      <c r="B52" s="16" t="s">
        <v>236</v>
      </c>
      <c r="C52" s="16" t="s">
        <v>237</v>
      </c>
      <c r="D52" s="17">
        <v>46169.538194444445</v>
      </c>
      <c r="E52" s="17">
        <v>46169.600694444445</v>
      </c>
      <c r="F52" s="18" t="s">
        <v>238</v>
      </c>
      <c r="G52" s="26" t="s">
        <v>255</v>
      </c>
      <c r="H52" s="26" t="s">
        <v>256</v>
      </c>
      <c r="I52" s="28" t="s">
        <v>144</v>
      </c>
      <c r="J52" s="28" t="s">
        <v>144</v>
      </c>
      <c r="K52" s="28" t="s">
        <v>144</v>
      </c>
      <c r="L52" s="28" t="s">
        <v>144</v>
      </c>
      <c r="M52" s="28" t="s">
        <v>257</v>
      </c>
      <c r="N52" s="28" t="s">
        <v>144</v>
      </c>
      <c r="O52" s="28" t="s">
        <v>111</v>
      </c>
    </row>
    <row r="53" spans="1:15" s="14" customFormat="1" ht="27" customHeight="1" x14ac:dyDescent="0.35">
      <c r="A53" s="19">
        <v>51</v>
      </c>
      <c r="B53" s="16" t="s">
        <v>48</v>
      </c>
      <c r="C53" s="16" t="s">
        <v>163</v>
      </c>
      <c r="D53" s="17">
        <v>46169.545138888891</v>
      </c>
      <c r="E53" s="17">
        <v>46169.586805555555</v>
      </c>
      <c r="F53" s="18" t="s">
        <v>22</v>
      </c>
      <c r="G53" s="26" t="s">
        <v>123</v>
      </c>
      <c r="H53" s="26" t="s">
        <v>132</v>
      </c>
      <c r="I53" s="28">
        <v>173</v>
      </c>
      <c r="J53" s="28" t="s">
        <v>144</v>
      </c>
      <c r="K53" s="28">
        <v>162</v>
      </c>
      <c r="L53" s="28">
        <v>12</v>
      </c>
      <c r="M53" s="28" t="s">
        <v>102</v>
      </c>
      <c r="N53" s="28">
        <v>24</v>
      </c>
      <c r="O53" s="28" t="s">
        <v>98</v>
      </c>
    </row>
    <row r="54" spans="1:15" s="14" customFormat="1" ht="27" customHeight="1" x14ac:dyDescent="0.35">
      <c r="A54" s="19">
        <v>52</v>
      </c>
      <c r="B54" s="16" t="s">
        <v>60</v>
      </c>
      <c r="C54" s="16" t="s">
        <v>61</v>
      </c>
      <c r="D54" s="17">
        <v>46169.559027777781</v>
      </c>
      <c r="E54" s="17">
        <v>46169.614583333336</v>
      </c>
      <c r="F54" s="18" t="s">
        <v>62</v>
      </c>
      <c r="G54" s="26" t="s">
        <v>112</v>
      </c>
      <c r="H54" s="26" t="s">
        <v>100</v>
      </c>
      <c r="I54" s="28">
        <v>165</v>
      </c>
      <c r="J54" s="28" t="s">
        <v>144</v>
      </c>
      <c r="K54" s="28">
        <v>188</v>
      </c>
      <c r="L54" s="28">
        <v>5</v>
      </c>
      <c r="M54" s="28" t="s">
        <v>206</v>
      </c>
      <c r="N54" s="28">
        <v>9</v>
      </c>
      <c r="O54" s="28" t="s">
        <v>113</v>
      </c>
    </row>
    <row r="55" spans="1:15" s="14" customFormat="1" ht="27" customHeight="1" x14ac:dyDescent="0.35">
      <c r="A55" s="19">
        <v>53</v>
      </c>
      <c r="B55" s="16" t="s">
        <v>42</v>
      </c>
      <c r="C55" s="16" t="s">
        <v>59</v>
      </c>
      <c r="D55" s="17">
        <v>46169.559027777781</v>
      </c>
      <c r="E55" s="17">
        <v>46169.618055555555</v>
      </c>
      <c r="F55" s="18" t="s">
        <v>44</v>
      </c>
      <c r="G55" s="26" t="s">
        <v>112</v>
      </c>
      <c r="H55" s="26" t="s">
        <v>114</v>
      </c>
      <c r="I55" s="28">
        <v>184</v>
      </c>
      <c r="J55" s="28" t="s">
        <v>144</v>
      </c>
      <c r="K55" s="28">
        <v>181</v>
      </c>
      <c r="L55" s="28">
        <v>17</v>
      </c>
      <c r="M55" s="28" t="s">
        <v>97</v>
      </c>
      <c r="N55" s="28">
        <v>32</v>
      </c>
      <c r="O55" s="28" t="s">
        <v>98</v>
      </c>
    </row>
    <row r="56" spans="1:15" s="14" customFormat="1" ht="27" customHeight="1" x14ac:dyDescent="0.35">
      <c r="A56" s="19">
        <v>54</v>
      </c>
      <c r="B56" s="16" t="s">
        <v>23</v>
      </c>
      <c r="C56" s="16" t="s">
        <v>239</v>
      </c>
      <c r="D56" s="17">
        <v>46169.569444444445</v>
      </c>
      <c r="E56" s="17">
        <v>46169.607638888891</v>
      </c>
      <c r="F56" s="18" t="s">
        <v>65</v>
      </c>
      <c r="G56" s="26" t="s">
        <v>99</v>
      </c>
      <c r="H56" s="26" t="s">
        <v>114</v>
      </c>
      <c r="I56" s="28">
        <v>151</v>
      </c>
      <c r="J56" s="28" t="s">
        <v>144</v>
      </c>
      <c r="K56" s="28">
        <v>148</v>
      </c>
      <c r="L56" s="28">
        <v>1</v>
      </c>
      <c r="M56" s="28" t="s">
        <v>122</v>
      </c>
      <c r="N56" s="28">
        <v>8</v>
      </c>
      <c r="O56" s="28" t="s">
        <v>113</v>
      </c>
    </row>
    <row r="57" spans="1:15" s="15" customFormat="1" ht="27" customHeight="1" x14ac:dyDescent="0.35">
      <c r="A57" s="19">
        <v>55</v>
      </c>
      <c r="B57" s="16" t="s">
        <v>24</v>
      </c>
      <c r="C57" s="16" t="s">
        <v>201</v>
      </c>
      <c r="D57" s="17">
        <v>46169.570833333331</v>
      </c>
      <c r="E57" s="17">
        <v>46169.615972222222</v>
      </c>
      <c r="F57" s="18" t="s">
        <v>40</v>
      </c>
      <c r="G57" s="26" t="s">
        <v>118</v>
      </c>
      <c r="H57" s="26" t="s">
        <v>116</v>
      </c>
      <c r="I57" s="28">
        <v>153</v>
      </c>
      <c r="J57" s="28" t="s">
        <v>144</v>
      </c>
      <c r="K57" s="28">
        <v>150</v>
      </c>
      <c r="L57" s="28">
        <v>6</v>
      </c>
      <c r="M57" s="28" t="s">
        <v>127</v>
      </c>
      <c r="N57" s="28">
        <v>4</v>
      </c>
      <c r="O57" s="28" t="s">
        <v>113</v>
      </c>
    </row>
    <row r="58" spans="1:15" s="14" customFormat="1" ht="27" customHeight="1" x14ac:dyDescent="0.35">
      <c r="A58" s="19">
        <v>56</v>
      </c>
      <c r="B58" s="16" t="s">
        <v>60</v>
      </c>
      <c r="C58" s="16" t="s">
        <v>64</v>
      </c>
      <c r="D58" s="17">
        <v>46169.572916666664</v>
      </c>
      <c r="E58" s="17">
        <v>46169.628472222219</v>
      </c>
      <c r="F58" s="18" t="s">
        <v>65</v>
      </c>
      <c r="G58" s="26" t="s">
        <v>138</v>
      </c>
      <c r="H58" s="26" t="s">
        <v>100</v>
      </c>
      <c r="I58" s="28">
        <v>188</v>
      </c>
      <c r="J58" s="28" t="s">
        <v>144</v>
      </c>
      <c r="K58" s="28">
        <v>180</v>
      </c>
      <c r="L58" s="28">
        <v>5</v>
      </c>
      <c r="M58" s="28" t="s">
        <v>119</v>
      </c>
      <c r="N58" s="28">
        <v>11</v>
      </c>
      <c r="O58" s="28" t="s">
        <v>113</v>
      </c>
    </row>
    <row r="59" spans="1:15" s="14" customFormat="1" ht="27" customHeight="1" x14ac:dyDescent="0.35">
      <c r="A59" s="19">
        <v>57</v>
      </c>
      <c r="B59" s="16" t="s">
        <v>24</v>
      </c>
      <c r="C59" s="16" t="s">
        <v>164</v>
      </c>
      <c r="D59" s="17">
        <v>46169.572916666664</v>
      </c>
      <c r="E59" s="17">
        <v>46169.618055555555</v>
      </c>
      <c r="F59" s="18" t="s">
        <v>165</v>
      </c>
      <c r="G59" s="26" t="s">
        <v>118</v>
      </c>
      <c r="H59" s="26" t="s">
        <v>116</v>
      </c>
      <c r="I59" s="28">
        <v>157</v>
      </c>
      <c r="J59" s="28" t="s">
        <v>144</v>
      </c>
      <c r="K59" s="28">
        <v>157</v>
      </c>
      <c r="L59" s="28">
        <v>3</v>
      </c>
      <c r="M59" s="28" t="s">
        <v>115</v>
      </c>
      <c r="N59" s="28">
        <v>6</v>
      </c>
      <c r="O59" s="28" t="s">
        <v>113</v>
      </c>
    </row>
    <row r="60" spans="1:15" s="14" customFormat="1" ht="27" customHeight="1" x14ac:dyDescent="0.35">
      <c r="A60" s="19">
        <v>58</v>
      </c>
      <c r="B60" s="16" t="s">
        <v>24</v>
      </c>
      <c r="C60" s="16" t="s">
        <v>166</v>
      </c>
      <c r="D60" s="17">
        <v>46169.579861111109</v>
      </c>
      <c r="E60" s="17">
        <v>46169.625</v>
      </c>
      <c r="F60" s="18" t="s">
        <v>167</v>
      </c>
      <c r="G60" s="26" t="s">
        <v>118</v>
      </c>
      <c r="H60" s="26" t="s">
        <v>116</v>
      </c>
      <c r="I60" s="28">
        <v>122</v>
      </c>
      <c r="J60" s="28" t="s">
        <v>144</v>
      </c>
      <c r="K60" s="28">
        <v>158</v>
      </c>
      <c r="L60" s="28">
        <v>2</v>
      </c>
      <c r="M60" s="28" t="s">
        <v>128</v>
      </c>
      <c r="N60" s="28">
        <v>3</v>
      </c>
      <c r="O60" s="28" t="s">
        <v>113</v>
      </c>
    </row>
    <row r="61" spans="1:15" s="14" customFormat="1" ht="27" customHeight="1" x14ac:dyDescent="0.35">
      <c r="A61" s="19">
        <v>59</v>
      </c>
      <c r="B61" s="16" t="s">
        <v>68</v>
      </c>
      <c r="C61" s="16" t="s">
        <v>69</v>
      </c>
      <c r="D61" s="17">
        <v>46169.579861111109</v>
      </c>
      <c r="E61" s="17">
        <v>46169.621527777781</v>
      </c>
      <c r="F61" s="18" t="s">
        <v>65</v>
      </c>
      <c r="G61" s="26" t="s">
        <v>112</v>
      </c>
      <c r="H61" s="26" t="s">
        <v>106</v>
      </c>
      <c r="I61" s="28">
        <v>167</v>
      </c>
      <c r="J61" s="28" t="s">
        <v>144</v>
      </c>
      <c r="K61" s="28">
        <v>170</v>
      </c>
      <c r="L61" s="28">
        <v>2</v>
      </c>
      <c r="M61" s="28" t="s">
        <v>117</v>
      </c>
      <c r="N61" s="28">
        <v>13</v>
      </c>
      <c r="O61" s="28" t="s">
        <v>113</v>
      </c>
    </row>
    <row r="62" spans="1:15" s="8" customFormat="1" ht="27" customHeight="1" x14ac:dyDescent="0.35">
      <c r="A62" s="19">
        <v>60</v>
      </c>
      <c r="B62" s="16" t="s">
        <v>18</v>
      </c>
      <c r="C62" s="16" t="s">
        <v>70</v>
      </c>
      <c r="D62" s="17">
        <v>46169.583333333336</v>
      </c>
      <c r="E62" s="17">
        <v>46169.631944444445</v>
      </c>
      <c r="F62" s="18" t="s">
        <v>19</v>
      </c>
      <c r="G62" s="26" t="s">
        <v>123</v>
      </c>
      <c r="H62" s="26" t="s">
        <v>100</v>
      </c>
      <c r="I62" s="28">
        <v>177</v>
      </c>
      <c r="J62" s="28" t="s">
        <v>144</v>
      </c>
      <c r="K62" s="28">
        <v>168</v>
      </c>
      <c r="L62" s="28">
        <v>12</v>
      </c>
      <c r="M62" s="28" t="s">
        <v>103</v>
      </c>
      <c r="N62" s="28">
        <v>26</v>
      </c>
      <c r="O62" s="28" t="s">
        <v>98</v>
      </c>
    </row>
    <row r="63" spans="1:15" s="14" customFormat="1" ht="27" customHeight="1" x14ac:dyDescent="0.35">
      <c r="A63" s="19">
        <v>61</v>
      </c>
      <c r="B63" s="16" t="s">
        <v>23</v>
      </c>
      <c r="C63" s="16" t="s">
        <v>240</v>
      </c>
      <c r="D63" s="17">
        <v>46169.586805555555</v>
      </c>
      <c r="E63" s="17">
        <v>46169.625</v>
      </c>
      <c r="F63" s="18" t="s">
        <v>62</v>
      </c>
      <c r="G63" s="26" t="s">
        <v>99</v>
      </c>
      <c r="H63" s="26" t="s">
        <v>114</v>
      </c>
      <c r="I63" s="28">
        <v>13</v>
      </c>
      <c r="J63" s="28" t="s">
        <v>144</v>
      </c>
      <c r="K63" s="28">
        <v>174</v>
      </c>
      <c r="L63" s="28">
        <v>1</v>
      </c>
      <c r="M63" s="28" t="s">
        <v>140</v>
      </c>
      <c r="N63" s="28">
        <v>1</v>
      </c>
      <c r="O63" s="28" t="s">
        <v>113</v>
      </c>
    </row>
    <row r="64" spans="1:15" s="14" customFormat="1" ht="27" customHeight="1" x14ac:dyDescent="0.35">
      <c r="A64" s="19">
        <v>62</v>
      </c>
      <c r="B64" s="16" t="s">
        <v>71</v>
      </c>
      <c r="C64" s="16" t="s">
        <v>241</v>
      </c>
      <c r="D64" s="17">
        <v>46169.590277777781</v>
      </c>
      <c r="E64" s="17">
        <v>46169.635416666664</v>
      </c>
      <c r="F64" s="18" t="s">
        <v>38</v>
      </c>
      <c r="G64" s="26" t="s">
        <v>118</v>
      </c>
      <c r="H64" s="26" t="s">
        <v>133</v>
      </c>
      <c r="I64" s="28">
        <v>169</v>
      </c>
      <c r="J64" s="28" t="s">
        <v>144</v>
      </c>
      <c r="K64" s="28">
        <v>119</v>
      </c>
      <c r="L64" s="28">
        <v>6</v>
      </c>
      <c r="M64" s="28" t="s">
        <v>121</v>
      </c>
      <c r="N64" s="28">
        <v>16</v>
      </c>
      <c r="O64" s="28" t="s">
        <v>113</v>
      </c>
    </row>
    <row r="65" spans="1:15" s="14" customFormat="1" ht="27" customHeight="1" x14ac:dyDescent="0.35">
      <c r="A65" s="19">
        <v>63</v>
      </c>
      <c r="B65" s="16" t="s">
        <v>16</v>
      </c>
      <c r="C65" s="16" t="s">
        <v>66</v>
      </c>
      <c r="D65" s="17">
        <v>46169.59097222222</v>
      </c>
      <c r="E65" s="17">
        <v>46169.635416666664</v>
      </c>
      <c r="F65" s="18" t="s">
        <v>67</v>
      </c>
      <c r="G65" s="26" t="s">
        <v>112</v>
      </c>
      <c r="H65" s="26" t="s">
        <v>96</v>
      </c>
      <c r="I65" s="28">
        <v>179</v>
      </c>
      <c r="J65" s="28" t="s">
        <v>144</v>
      </c>
      <c r="K65" s="28">
        <v>159</v>
      </c>
      <c r="L65" s="28">
        <v>15</v>
      </c>
      <c r="M65" s="28" t="s">
        <v>124</v>
      </c>
      <c r="N65" s="28">
        <v>28</v>
      </c>
      <c r="O65" s="28" t="s">
        <v>98</v>
      </c>
    </row>
    <row r="66" spans="1:15" s="14" customFormat="1" ht="27" customHeight="1" x14ac:dyDescent="0.35">
      <c r="A66" s="19">
        <v>64</v>
      </c>
      <c r="B66" s="16" t="s">
        <v>48</v>
      </c>
      <c r="C66" s="16" t="s">
        <v>172</v>
      </c>
      <c r="D66" s="17">
        <v>46169.59375</v>
      </c>
      <c r="E66" s="17">
        <v>46169.635416666664</v>
      </c>
      <c r="F66" s="18" t="s">
        <v>159</v>
      </c>
      <c r="G66" s="26" t="s">
        <v>99</v>
      </c>
      <c r="H66" s="26" t="s">
        <v>132</v>
      </c>
      <c r="I66" s="28">
        <v>168</v>
      </c>
      <c r="J66" s="28" t="s">
        <v>144</v>
      </c>
      <c r="K66" s="28">
        <v>151</v>
      </c>
      <c r="L66" s="28">
        <v>11</v>
      </c>
      <c r="M66" s="28" t="s">
        <v>107</v>
      </c>
      <c r="N66" s="28">
        <v>25</v>
      </c>
      <c r="O66" s="28" t="s">
        <v>98</v>
      </c>
    </row>
    <row r="67" spans="1:15" s="14" customFormat="1" ht="27" customHeight="1" x14ac:dyDescent="0.35">
      <c r="A67" s="19">
        <v>65</v>
      </c>
      <c r="B67" s="16" t="s">
        <v>21</v>
      </c>
      <c r="C67" s="16" t="s">
        <v>242</v>
      </c>
      <c r="D67" s="17">
        <v>46169.599999999999</v>
      </c>
      <c r="E67" s="17">
        <v>46169.649305555555</v>
      </c>
      <c r="F67" s="18" t="s">
        <v>44</v>
      </c>
      <c r="G67" s="26" t="s">
        <v>138</v>
      </c>
      <c r="H67" s="26" t="s">
        <v>106</v>
      </c>
      <c r="I67" s="28">
        <v>223</v>
      </c>
      <c r="J67" s="28" t="s">
        <v>144</v>
      </c>
      <c r="K67" s="28">
        <v>146</v>
      </c>
      <c r="L67" s="28">
        <v>5</v>
      </c>
      <c r="M67" s="28" t="s">
        <v>142</v>
      </c>
      <c r="N67" s="28">
        <v>5</v>
      </c>
      <c r="O67" s="28" t="s">
        <v>113</v>
      </c>
    </row>
    <row r="68" spans="1:15" s="14" customFormat="1" ht="27" customHeight="1" x14ac:dyDescent="0.35">
      <c r="A68" s="19">
        <v>66</v>
      </c>
      <c r="B68" s="16" t="s">
        <v>49</v>
      </c>
      <c r="C68" s="16" t="s">
        <v>168</v>
      </c>
      <c r="D68" s="17">
        <v>46169.602083333331</v>
      </c>
      <c r="E68" s="17">
        <v>46169.649305555555</v>
      </c>
      <c r="F68" s="18" t="s">
        <v>169</v>
      </c>
      <c r="G68" s="26" t="s">
        <v>134</v>
      </c>
      <c r="H68" s="26" t="s">
        <v>135</v>
      </c>
      <c r="I68" s="28">
        <v>175</v>
      </c>
      <c r="J68" s="28" t="s">
        <v>144</v>
      </c>
      <c r="K68" s="28">
        <v>164</v>
      </c>
      <c r="L68" s="28">
        <v>11</v>
      </c>
      <c r="M68" s="28" t="s">
        <v>190</v>
      </c>
      <c r="N68" s="28">
        <v>21</v>
      </c>
      <c r="O68" s="28" t="s">
        <v>98</v>
      </c>
    </row>
    <row r="69" spans="1:15" s="14" customFormat="1" ht="27" customHeight="1" x14ac:dyDescent="0.35">
      <c r="A69" s="19">
        <v>67</v>
      </c>
      <c r="B69" s="16" t="s">
        <v>73</v>
      </c>
      <c r="C69" s="16" t="s">
        <v>243</v>
      </c>
      <c r="D69" s="17">
        <v>46169.604166666664</v>
      </c>
      <c r="E69" s="17">
        <v>46169.694444444445</v>
      </c>
      <c r="F69" s="18" t="s">
        <v>204</v>
      </c>
      <c r="G69" s="26" t="s">
        <v>141</v>
      </c>
      <c r="H69" s="26" t="s">
        <v>100</v>
      </c>
      <c r="I69" s="28">
        <v>319</v>
      </c>
      <c r="J69" s="28" t="s">
        <v>144</v>
      </c>
      <c r="K69" s="28">
        <v>319</v>
      </c>
      <c r="L69" s="28">
        <v>6</v>
      </c>
      <c r="M69" s="28" t="s">
        <v>131</v>
      </c>
      <c r="N69" s="28">
        <v>1</v>
      </c>
      <c r="O69" s="28" t="s">
        <v>113</v>
      </c>
    </row>
    <row r="70" spans="1:15" s="14" customFormat="1" ht="27" customHeight="1" x14ac:dyDescent="0.35">
      <c r="A70" s="19">
        <v>68</v>
      </c>
      <c r="B70" s="16" t="s">
        <v>42</v>
      </c>
      <c r="C70" s="16" t="s">
        <v>72</v>
      </c>
      <c r="D70" s="17">
        <v>46169.607638888891</v>
      </c>
      <c r="E70" s="17">
        <v>46169.666666666664</v>
      </c>
      <c r="F70" s="18" t="s">
        <v>44</v>
      </c>
      <c r="G70" s="26" t="s">
        <v>112</v>
      </c>
      <c r="H70" s="26" t="s">
        <v>114</v>
      </c>
      <c r="I70" s="28">
        <v>182</v>
      </c>
      <c r="J70" s="28" t="s">
        <v>144</v>
      </c>
      <c r="K70" s="28">
        <v>174</v>
      </c>
      <c r="L70" s="28">
        <v>15</v>
      </c>
      <c r="M70" s="28" t="s">
        <v>129</v>
      </c>
      <c r="N70" s="28">
        <v>31</v>
      </c>
      <c r="O70" s="28" t="s">
        <v>98</v>
      </c>
    </row>
    <row r="71" spans="1:15" s="14" customFormat="1" ht="27" customHeight="1" x14ac:dyDescent="0.35">
      <c r="A71" s="19">
        <v>69</v>
      </c>
      <c r="B71" s="16" t="s">
        <v>23</v>
      </c>
      <c r="C71" s="16" t="s">
        <v>170</v>
      </c>
      <c r="D71" s="17">
        <v>46169.607638888891</v>
      </c>
      <c r="E71" s="17">
        <v>46169.649305555555</v>
      </c>
      <c r="F71" s="18" t="s">
        <v>62</v>
      </c>
      <c r="G71" s="26" t="s">
        <v>99</v>
      </c>
      <c r="H71" s="26" t="s">
        <v>114</v>
      </c>
      <c r="I71" s="28">
        <v>170</v>
      </c>
      <c r="J71" s="28" t="s">
        <v>144</v>
      </c>
      <c r="K71" s="28">
        <v>171</v>
      </c>
      <c r="L71" s="28">
        <v>3</v>
      </c>
      <c r="M71" s="28" t="s">
        <v>196</v>
      </c>
      <c r="N71" s="28">
        <v>2</v>
      </c>
      <c r="O71" s="28" t="s">
        <v>113</v>
      </c>
    </row>
    <row r="72" spans="1:15" s="14" customFormat="1" ht="27" customHeight="1" x14ac:dyDescent="0.35">
      <c r="A72" s="19">
        <v>70</v>
      </c>
      <c r="B72" s="16" t="s">
        <v>49</v>
      </c>
      <c r="C72" s="16" t="s">
        <v>171</v>
      </c>
      <c r="D72" s="17">
        <v>46169.616666666669</v>
      </c>
      <c r="E72" s="17">
        <v>46169.666666666664</v>
      </c>
      <c r="F72" s="18" t="s">
        <v>58</v>
      </c>
      <c r="G72" s="26" t="s">
        <v>134</v>
      </c>
      <c r="H72" s="26" t="s">
        <v>135</v>
      </c>
      <c r="I72" s="28">
        <v>171</v>
      </c>
      <c r="J72" s="28" t="s">
        <v>144</v>
      </c>
      <c r="K72" s="28">
        <v>169</v>
      </c>
      <c r="L72" s="28">
        <v>12</v>
      </c>
      <c r="M72" s="28" t="s">
        <v>102</v>
      </c>
      <c r="N72" s="28">
        <v>24</v>
      </c>
      <c r="O72" s="28" t="s">
        <v>98</v>
      </c>
    </row>
    <row r="73" spans="1:15" s="14" customFormat="1" ht="27" customHeight="1" x14ac:dyDescent="0.35">
      <c r="A73" s="19">
        <v>71</v>
      </c>
      <c r="B73" s="16" t="s">
        <v>16</v>
      </c>
      <c r="C73" s="16" t="s">
        <v>173</v>
      </c>
      <c r="D73" s="17">
        <v>46169.629166666666</v>
      </c>
      <c r="E73" s="17">
        <v>46169.67083333333</v>
      </c>
      <c r="F73" s="18" t="s">
        <v>33</v>
      </c>
      <c r="G73" s="26" t="s">
        <v>95</v>
      </c>
      <c r="H73" s="26" t="s">
        <v>96</v>
      </c>
      <c r="I73" s="28">
        <v>157</v>
      </c>
      <c r="J73" s="28" t="s">
        <v>144</v>
      </c>
      <c r="K73" s="28">
        <v>158</v>
      </c>
      <c r="L73" s="28">
        <v>16</v>
      </c>
      <c r="M73" s="28" t="s">
        <v>125</v>
      </c>
      <c r="N73" s="28">
        <v>27</v>
      </c>
      <c r="O73" s="28" t="s">
        <v>98</v>
      </c>
    </row>
    <row r="74" spans="1:15" s="14" customFormat="1" ht="27" customHeight="1" x14ac:dyDescent="0.35">
      <c r="A74" s="19">
        <v>72</v>
      </c>
      <c r="B74" s="16" t="s">
        <v>16</v>
      </c>
      <c r="C74" s="16" t="s">
        <v>174</v>
      </c>
      <c r="D74" s="17">
        <v>46169.630555555559</v>
      </c>
      <c r="E74" s="17">
        <v>46169.672222222223</v>
      </c>
      <c r="F74" s="18" t="s">
        <v>31</v>
      </c>
      <c r="G74" s="26" t="s">
        <v>112</v>
      </c>
      <c r="H74" s="26" t="s">
        <v>96</v>
      </c>
      <c r="I74" s="28">
        <v>163</v>
      </c>
      <c r="J74" s="28" t="s">
        <v>144</v>
      </c>
      <c r="K74" s="28">
        <v>100</v>
      </c>
      <c r="L74" s="28">
        <v>13</v>
      </c>
      <c r="M74" s="28" t="s">
        <v>101</v>
      </c>
      <c r="N74" s="28">
        <v>22</v>
      </c>
      <c r="O74" s="28" t="s">
        <v>98</v>
      </c>
    </row>
    <row r="75" spans="1:15" s="14" customFormat="1" ht="27" customHeight="1" x14ac:dyDescent="0.35">
      <c r="A75" s="19">
        <v>73</v>
      </c>
      <c r="B75" s="16" t="s">
        <v>24</v>
      </c>
      <c r="C75" s="16" t="s">
        <v>175</v>
      </c>
      <c r="D75" s="17">
        <v>46169.634722222225</v>
      </c>
      <c r="E75" s="17">
        <v>46169.679861111108</v>
      </c>
      <c r="F75" s="18" t="s">
        <v>27</v>
      </c>
      <c r="G75" s="26" t="s">
        <v>118</v>
      </c>
      <c r="H75" s="26" t="s">
        <v>116</v>
      </c>
      <c r="I75" s="28">
        <v>122</v>
      </c>
      <c r="J75" s="28" t="s">
        <v>144</v>
      </c>
      <c r="K75" s="28">
        <v>106</v>
      </c>
      <c r="L75" s="28">
        <v>1</v>
      </c>
      <c r="M75" s="28" t="s">
        <v>130</v>
      </c>
      <c r="N75" s="28">
        <v>6</v>
      </c>
      <c r="O75" s="28" t="s">
        <v>113</v>
      </c>
    </row>
    <row r="76" spans="1:15" s="14" customFormat="1" ht="27" customHeight="1" x14ac:dyDescent="0.35">
      <c r="A76" s="19">
        <v>74</v>
      </c>
      <c r="B76" s="16" t="s">
        <v>16</v>
      </c>
      <c r="C76" s="16" t="s">
        <v>176</v>
      </c>
      <c r="D76" s="17">
        <v>46169.635416666664</v>
      </c>
      <c r="E76" s="17">
        <v>46169.677083333336</v>
      </c>
      <c r="F76" s="18" t="s">
        <v>57</v>
      </c>
      <c r="G76" s="26" t="s">
        <v>112</v>
      </c>
      <c r="H76" s="26" t="s">
        <v>96</v>
      </c>
      <c r="I76" s="28">
        <v>155</v>
      </c>
      <c r="J76" s="28" t="s">
        <v>144</v>
      </c>
      <c r="K76" s="28">
        <v>175</v>
      </c>
      <c r="L76" s="28">
        <v>13</v>
      </c>
      <c r="M76" s="28" t="s">
        <v>104</v>
      </c>
      <c r="N76" s="28">
        <v>20</v>
      </c>
      <c r="O76" s="28" t="s">
        <v>98</v>
      </c>
    </row>
    <row r="77" spans="1:15" s="14" customFormat="1" ht="27" customHeight="1" x14ac:dyDescent="0.35">
      <c r="A77" s="19">
        <v>75</v>
      </c>
      <c r="B77" s="16" t="s">
        <v>68</v>
      </c>
      <c r="C77" s="16" t="s">
        <v>74</v>
      </c>
      <c r="D77" s="17">
        <v>46169.638888888891</v>
      </c>
      <c r="E77" s="17">
        <v>46169.684027777781</v>
      </c>
      <c r="F77" s="18" t="s">
        <v>62</v>
      </c>
      <c r="G77" s="26" t="s">
        <v>118</v>
      </c>
      <c r="H77" s="26" t="s">
        <v>106</v>
      </c>
      <c r="I77" s="28">
        <v>182</v>
      </c>
      <c r="J77" s="28" t="s">
        <v>144</v>
      </c>
      <c r="K77" s="28">
        <v>173</v>
      </c>
      <c r="L77" s="28">
        <v>5</v>
      </c>
      <c r="M77" s="28" t="s">
        <v>117</v>
      </c>
      <c r="N77" s="28">
        <v>14</v>
      </c>
      <c r="O77" s="28" t="s">
        <v>113</v>
      </c>
    </row>
    <row r="78" spans="1:15" s="14" customFormat="1" ht="27" customHeight="1" x14ac:dyDescent="0.35">
      <c r="A78" s="19">
        <v>76</v>
      </c>
      <c r="B78" s="16" t="s">
        <v>71</v>
      </c>
      <c r="C78" s="16" t="s">
        <v>75</v>
      </c>
      <c r="D78" s="17">
        <v>46169.638888888891</v>
      </c>
      <c r="E78" s="17">
        <v>46169.725694444445</v>
      </c>
      <c r="F78" s="18" t="s">
        <v>38</v>
      </c>
      <c r="G78" s="26" t="s">
        <v>118</v>
      </c>
      <c r="H78" s="26" t="s">
        <v>133</v>
      </c>
      <c r="I78" s="28">
        <v>105</v>
      </c>
      <c r="J78" s="28" t="s">
        <v>144</v>
      </c>
      <c r="K78" s="28">
        <v>156</v>
      </c>
      <c r="L78" s="28">
        <v>2</v>
      </c>
      <c r="M78" s="28" t="s">
        <v>127</v>
      </c>
      <c r="N78" s="28">
        <v>12</v>
      </c>
      <c r="O78" s="28" t="s">
        <v>113</v>
      </c>
    </row>
    <row r="79" spans="1:15" s="14" customFormat="1" ht="27" customHeight="1" x14ac:dyDescent="0.35">
      <c r="A79" s="19">
        <v>77</v>
      </c>
      <c r="B79" s="16" t="s">
        <v>244</v>
      </c>
      <c r="C79" s="16" t="s">
        <v>245</v>
      </c>
      <c r="D79" s="17">
        <v>46169.642361111109</v>
      </c>
      <c r="E79" s="17">
        <v>46169.743055555555</v>
      </c>
      <c r="F79" s="18" t="s">
        <v>246</v>
      </c>
      <c r="G79" s="26" t="s">
        <v>258</v>
      </c>
      <c r="H79" s="26" t="s">
        <v>259</v>
      </c>
      <c r="I79" s="28">
        <v>179</v>
      </c>
      <c r="J79" s="28" t="s">
        <v>144</v>
      </c>
      <c r="K79" s="28">
        <v>294</v>
      </c>
      <c r="L79" s="28">
        <v>5</v>
      </c>
      <c r="M79" s="28" t="s">
        <v>128</v>
      </c>
      <c r="N79" s="28">
        <v>2</v>
      </c>
      <c r="O79" s="28" t="s">
        <v>113</v>
      </c>
    </row>
    <row r="80" spans="1:15" s="14" customFormat="1" ht="27" customHeight="1" x14ac:dyDescent="0.35">
      <c r="A80" s="19">
        <v>78</v>
      </c>
      <c r="B80" s="16" t="s">
        <v>21</v>
      </c>
      <c r="C80" s="16" t="s">
        <v>177</v>
      </c>
      <c r="D80" s="17">
        <v>46169.643750000003</v>
      </c>
      <c r="E80" s="17">
        <v>46169.692361111112</v>
      </c>
      <c r="F80" s="18" t="s">
        <v>76</v>
      </c>
      <c r="G80" s="26" t="s">
        <v>112</v>
      </c>
      <c r="H80" s="26" t="s">
        <v>106</v>
      </c>
      <c r="I80" s="28">
        <v>173</v>
      </c>
      <c r="J80" s="28" t="s">
        <v>144</v>
      </c>
      <c r="K80" s="28">
        <v>168</v>
      </c>
      <c r="L80" s="28">
        <v>6</v>
      </c>
      <c r="M80" s="28" t="s">
        <v>119</v>
      </c>
      <c r="N80" s="28">
        <v>7</v>
      </c>
      <c r="O80" s="28" t="s">
        <v>113</v>
      </c>
    </row>
    <row r="81" spans="1:15" s="14" customFormat="1" ht="27" customHeight="1" x14ac:dyDescent="0.35">
      <c r="A81" s="19">
        <v>79</v>
      </c>
      <c r="B81" s="16" t="s">
        <v>77</v>
      </c>
      <c r="C81" s="16" t="s">
        <v>78</v>
      </c>
      <c r="D81" s="17">
        <v>46169.645833333336</v>
      </c>
      <c r="E81" s="17">
        <v>46169.704861111109</v>
      </c>
      <c r="F81" s="18" t="s">
        <v>79</v>
      </c>
      <c r="G81" s="26" t="s">
        <v>99</v>
      </c>
      <c r="H81" s="26" t="s">
        <v>114</v>
      </c>
      <c r="I81" s="28">
        <v>154</v>
      </c>
      <c r="J81" s="28" t="s">
        <v>144</v>
      </c>
      <c r="K81" s="28">
        <v>157</v>
      </c>
      <c r="L81" s="28">
        <v>3</v>
      </c>
      <c r="M81" s="28" t="s">
        <v>121</v>
      </c>
      <c r="N81" s="28">
        <v>16</v>
      </c>
      <c r="O81" s="28" t="s">
        <v>113</v>
      </c>
    </row>
    <row r="82" spans="1:15" s="14" customFormat="1" ht="27" customHeight="1" x14ac:dyDescent="0.35">
      <c r="A82" s="19">
        <v>80</v>
      </c>
      <c r="B82" s="16" t="s">
        <v>49</v>
      </c>
      <c r="C82" s="16" t="s">
        <v>178</v>
      </c>
      <c r="D82" s="17">
        <v>46169.645833333336</v>
      </c>
      <c r="E82" s="17">
        <v>46169.694444444445</v>
      </c>
      <c r="F82" s="18" t="s">
        <v>179</v>
      </c>
      <c r="G82" s="26" t="s">
        <v>134</v>
      </c>
      <c r="H82" s="26" t="s">
        <v>135</v>
      </c>
      <c r="I82" s="28">
        <v>174</v>
      </c>
      <c r="J82" s="28" t="s">
        <v>144</v>
      </c>
      <c r="K82" s="28">
        <v>174</v>
      </c>
      <c r="L82" s="28">
        <v>11</v>
      </c>
      <c r="M82" s="28" t="s">
        <v>107</v>
      </c>
      <c r="N82" s="28">
        <v>25</v>
      </c>
      <c r="O82" s="28" t="s">
        <v>98</v>
      </c>
    </row>
    <row r="83" spans="1:15" s="14" customFormat="1" ht="27" customHeight="1" x14ac:dyDescent="0.35">
      <c r="A83" s="19">
        <v>81</v>
      </c>
      <c r="B83" s="16" t="s">
        <v>16</v>
      </c>
      <c r="C83" s="16" t="s">
        <v>180</v>
      </c>
      <c r="D83" s="17">
        <v>46169.65625</v>
      </c>
      <c r="E83" s="17">
        <v>46169.70208333333</v>
      </c>
      <c r="F83" s="18" t="s">
        <v>31</v>
      </c>
      <c r="G83" s="26" t="s">
        <v>112</v>
      </c>
      <c r="H83" s="26" t="s">
        <v>96</v>
      </c>
      <c r="I83" s="28">
        <v>154</v>
      </c>
      <c r="J83" s="28" t="s">
        <v>144</v>
      </c>
      <c r="K83" s="28">
        <v>120</v>
      </c>
      <c r="L83" s="28">
        <v>16</v>
      </c>
      <c r="M83" s="28" t="s">
        <v>97</v>
      </c>
      <c r="N83" s="28">
        <v>32</v>
      </c>
      <c r="O83" s="28" t="s">
        <v>98</v>
      </c>
    </row>
    <row r="84" spans="1:15" s="15" customFormat="1" ht="27" customHeight="1" x14ac:dyDescent="0.35">
      <c r="A84" s="19">
        <v>82</v>
      </c>
      <c r="B84" s="16" t="s">
        <v>24</v>
      </c>
      <c r="C84" s="16" t="s">
        <v>181</v>
      </c>
      <c r="D84" s="17">
        <v>46169.665972222225</v>
      </c>
      <c r="E84" s="17">
        <v>46169.711111111108</v>
      </c>
      <c r="F84" s="18" t="s">
        <v>22</v>
      </c>
      <c r="G84" s="26" t="s">
        <v>118</v>
      </c>
      <c r="H84" s="26" t="s">
        <v>116</v>
      </c>
      <c r="I84" s="28">
        <v>151</v>
      </c>
      <c r="J84" s="28" t="s">
        <v>144</v>
      </c>
      <c r="K84" s="28">
        <v>90</v>
      </c>
      <c r="L84" s="28">
        <v>3</v>
      </c>
      <c r="M84" s="28" t="s">
        <v>140</v>
      </c>
      <c r="N84" s="28">
        <v>9</v>
      </c>
      <c r="O84" s="28" t="s">
        <v>113</v>
      </c>
    </row>
    <row r="85" spans="1:15" s="14" customFormat="1" ht="27" customHeight="1" x14ac:dyDescent="0.35">
      <c r="A85" s="19">
        <v>83</v>
      </c>
      <c r="B85" s="16" t="s">
        <v>18</v>
      </c>
      <c r="C85" s="16" t="s">
        <v>81</v>
      </c>
      <c r="D85" s="17">
        <v>46169.666666666664</v>
      </c>
      <c r="E85" s="17">
        <v>46169.745833333334</v>
      </c>
      <c r="F85" s="18" t="s">
        <v>19</v>
      </c>
      <c r="G85" s="26" t="s">
        <v>123</v>
      </c>
      <c r="H85" s="26" t="s">
        <v>100</v>
      </c>
      <c r="I85" s="28">
        <v>185</v>
      </c>
      <c r="J85" s="28" t="s">
        <v>144</v>
      </c>
      <c r="K85" s="28">
        <v>159</v>
      </c>
      <c r="L85" s="28">
        <v>11</v>
      </c>
      <c r="M85" s="28" t="s">
        <v>103</v>
      </c>
      <c r="N85" s="28">
        <v>26</v>
      </c>
      <c r="O85" s="28" t="s">
        <v>98</v>
      </c>
    </row>
    <row r="86" spans="1:15" s="14" customFormat="1" ht="27" customHeight="1" x14ac:dyDescent="0.35">
      <c r="A86" s="19">
        <v>84</v>
      </c>
      <c r="B86" s="16" t="s">
        <v>202</v>
      </c>
      <c r="C86" s="16" t="s">
        <v>203</v>
      </c>
      <c r="D86" s="17">
        <v>46169.666666666664</v>
      </c>
      <c r="E86" s="17">
        <v>46169.75</v>
      </c>
      <c r="F86" s="18" t="s">
        <v>204</v>
      </c>
      <c r="G86" s="26" t="s">
        <v>207</v>
      </c>
      <c r="H86" s="26" t="s">
        <v>106</v>
      </c>
      <c r="I86" s="28">
        <v>189</v>
      </c>
      <c r="J86" s="28" t="s">
        <v>144</v>
      </c>
      <c r="K86" s="28">
        <v>319</v>
      </c>
      <c r="L86" s="28">
        <v>15</v>
      </c>
      <c r="M86" s="28" t="s">
        <v>126</v>
      </c>
      <c r="N86" s="28">
        <v>30</v>
      </c>
      <c r="O86" s="28" t="s">
        <v>98</v>
      </c>
    </row>
    <row r="87" spans="1:15" s="14" customFormat="1" ht="27" customHeight="1" x14ac:dyDescent="0.35">
      <c r="A87" s="19">
        <v>85</v>
      </c>
      <c r="B87" s="16" t="s">
        <v>16</v>
      </c>
      <c r="C87" s="16" t="s">
        <v>182</v>
      </c>
      <c r="D87" s="17">
        <v>46169.669444444444</v>
      </c>
      <c r="E87" s="17">
        <v>46169.711111111108</v>
      </c>
      <c r="F87" s="18" t="s">
        <v>183</v>
      </c>
      <c r="G87" s="26" t="s">
        <v>112</v>
      </c>
      <c r="H87" s="26" t="s">
        <v>96</v>
      </c>
      <c r="I87" s="28">
        <v>188</v>
      </c>
      <c r="J87" s="28" t="s">
        <v>144</v>
      </c>
      <c r="K87" s="28">
        <v>171</v>
      </c>
      <c r="L87" s="28">
        <v>17</v>
      </c>
      <c r="M87" s="28" t="s">
        <v>124</v>
      </c>
      <c r="N87" s="28">
        <v>28</v>
      </c>
      <c r="O87" s="28" t="s">
        <v>98</v>
      </c>
    </row>
    <row r="88" spans="1:15" s="14" customFormat="1" ht="27" customHeight="1" x14ac:dyDescent="0.35">
      <c r="A88" s="19">
        <v>86</v>
      </c>
      <c r="B88" s="16" t="s">
        <v>37</v>
      </c>
      <c r="C88" s="16" t="s">
        <v>83</v>
      </c>
      <c r="D88" s="17">
        <v>46169.680555555555</v>
      </c>
      <c r="E88" s="17">
        <v>46169.729166666664</v>
      </c>
      <c r="F88" s="18" t="s">
        <v>38</v>
      </c>
      <c r="G88" s="26" t="s">
        <v>118</v>
      </c>
      <c r="H88" s="26" t="s">
        <v>106</v>
      </c>
      <c r="I88" s="28">
        <v>150</v>
      </c>
      <c r="J88" s="28" t="s">
        <v>144</v>
      </c>
      <c r="K88" s="28">
        <v>150</v>
      </c>
      <c r="L88" s="28">
        <v>1</v>
      </c>
      <c r="M88" s="28" t="s">
        <v>115</v>
      </c>
      <c r="N88" s="28">
        <v>5</v>
      </c>
      <c r="O88" s="28" t="s">
        <v>113</v>
      </c>
    </row>
    <row r="89" spans="1:15" s="14" customFormat="1" ht="27" customHeight="1" x14ac:dyDescent="0.35">
      <c r="A89" s="19">
        <v>87</v>
      </c>
      <c r="B89" s="16" t="s">
        <v>247</v>
      </c>
      <c r="C89" s="16" t="s">
        <v>248</v>
      </c>
      <c r="D89" s="17">
        <v>46169.680555555555</v>
      </c>
      <c r="E89" s="17">
        <v>46169.743055555555</v>
      </c>
      <c r="F89" s="18" t="s">
        <v>249</v>
      </c>
      <c r="G89" s="26" t="s">
        <v>141</v>
      </c>
      <c r="H89" s="26" t="s">
        <v>100</v>
      </c>
      <c r="I89" s="28">
        <v>289</v>
      </c>
      <c r="J89" s="28">
        <v>53</v>
      </c>
      <c r="K89" s="28">
        <v>227</v>
      </c>
      <c r="L89" s="28">
        <v>6</v>
      </c>
      <c r="M89" s="28" t="s">
        <v>122</v>
      </c>
      <c r="N89" s="28">
        <v>8</v>
      </c>
      <c r="O89" s="28" t="s">
        <v>113</v>
      </c>
    </row>
    <row r="90" spans="1:15" s="14" customFormat="1" ht="27" customHeight="1" x14ac:dyDescent="0.35">
      <c r="A90" s="19">
        <v>88</v>
      </c>
      <c r="B90" s="16" t="s">
        <v>24</v>
      </c>
      <c r="C90" s="16" t="s">
        <v>184</v>
      </c>
      <c r="D90" s="17">
        <v>46169.68472222222</v>
      </c>
      <c r="E90" s="17">
        <v>46169.729861111111</v>
      </c>
      <c r="F90" s="18" t="s">
        <v>27</v>
      </c>
      <c r="G90" s="26" t="s">
        <v>118</v>
      </c>
      <c r="H90" s="26" t="s">
        <v>116</v>
      </c>
      <c r="I90" s="28">
        <v>76</v>
      </c>
      <c r="J90" s="28" t="s">
        <v>144</v>
      </c>
      <c r="K90" s="28">
        <v>109</v>
      </c>
      <c r="L90" s="28">
        <v>2</v>
      </c>
      <c r="M90" s="28" t="s">
        <v>196</v>
      </c>
      <c r="N90" s="28">
        <v>4</v>
      </c>
      <c r="O90" s="28" t="s">
        <v>113</v>
      </c>
    </row>
    <row r="91" spans="1:15" s="14" customFormat="1" ht="27" customHeight="1" x14ac:dyDescent="0.35">
      <c r="A91" s="19">
        <v>89</v>
      </c>
      <c r="B91" s="16" t="s">
        <v>24</v>
      </c>
      <c r="C91" s="16" t="s">
        <v>185</v>
      </c>
      <c r="D91" s="17">
        <v>46169.693749999999</v>
      </c>
      <c r="E91" s="17">
        <v>46169.738888888889</v>
      </c>
      <c r="F91" s="18" t="s">
        <v>26</v>
      </c>
      <c r="G91" s="26" t="s">
        <v>120</v>
      </c>
      <c r="H91" s="26" t="s">
        <v>116</v>
      </c>
      <c r="I91" s="28">
        <v>101</v>
      </c>
      <c r="J91" s="28" t="s">
        <v>144</v>
      </c>
      <c r="K91" s="28">
        <v>136</v>
      </c>
      <c r="L91" s="28">
        <v>3</v>
      </c>
      <c r="M91" s="28" t="s">
        <v>130</v>
      </c>
      <c r="N91" s="28">
        <v>10</v>
      </c>
      <c r="O91" s="28" t="s">
        <v>113</v>
      </c>
    </row>
    <row r="92" spans="1:15" s="14" customFormat="1" ht="27" customHeight="1" x14ac:dyDescent="0.35">
      <c r="A92" s="19">
        <v>90</v>
      </c>
      <c r="B92" s="16" t="s">
        <v>34</v>
      </c>
      <c r="C92" s="16" t="s">
        <v>84</v>
      </c>
      <c r="D92" s="17">
        <v>46169.697916666664</v>
      </c>
      <c r="E92" s="17">
        <v>46169.75</v>
      </c>
      <c r="F92" s="18" t="s">
        <v>36</v>
      </c>
      <c r="G92" s="26" t="s">
        <v>118</v>
      </c>
      <c r="H92" s="26" t="s">
        <v>34</v>
      </c>
      <c r="I92" s="28">
        <v>110</v>
      </c>
      <c r="J92" s="28" t="s">
        <v>144</v>
      </c>
      <c r="K92" s="28">
        <v>170</v>
      </c>
      <c r="L92" s="28">
        <v>5</v>
      </c>
      <c r="M92" s="28" t="s">
        <v>117</v>
      </c>
      <c r="N92" s="28">
        <v>14</v>
      </c>
      <c r="O92" s="28" t="s">
        <v>113</v>
      </c>
    </row>
    <row r="93" spans="1:15" s="8" customFormat="1" ht="27" customHeight="1" x14ac:dyDescent="0.35">
      <c r="A93" s="19">
        <v>91</v>
      </c>
      <c r="B93" s="16" t="s">
        <v>16</v>
      </c>
      <c r="C93" s="16" t="s">
        <v>186</v>
      </c>
      <c r="D93" s="17">
        <v>46169.7</v>
      </c>
      <c r="E93" s="17">
        <v>46169.741666666669</v>
      </c>
      <c r="F93" s="18" t="s">
        <v>57</v>
      </c>
      <c r="G93" s="26" t="s">
        <v>95</v>
      </c>
      <c r="H93" s="26" t="s">
        <v>96</v>
      </c>
      <c r="I93" s="28">
        <v>114</v>
      </c>
      <c r="J93" s="28" t="s">
        <v>144</v>
      </c>
      <c r="K93" s="28">
        <v>159</v>
      </c>
      <c r="L93" s="28">
        <v>16</v>
      </c>
      <c r="M93" s="28" t="s">
        <v>125</v>
      </c>
      <c r="N93" s="28">
        <v>27</v>
      </c>
      <c r="O93" s="28" t="s">
        <v>98</v>
      </c>
    </row>
    <row r="94" spans="1:15" s="8" customFormat="1" ht="27" customHeight="1" x14ac:dyDescent="0.35">
      <c r="A94" s="19">
        <v>92</v>
      </c>
      <c r="B94" s="16" t="s">
        <v>17</v>
      </c>
      <c r="C94" s="16" t="s">
        <v>250</v>
      </c>
      <c r="D94" s="17">
        <v>46169.711805555555</v>
      </c>
      <c r="E94" s="17">
        <v>46169.743055555555</v>
      </c>
      <c r="F94" s="18" t="s">
        <v>251</v>
      </c>
      <c r="G94" s="26" t="s">
        <v>99</v>
      </c>
      <c r="H94" s="26" t="s">
        <v>100</v>
      </c>
      <c r="I94" s="28">
        <v>160</v>
      </c>
      <c r="J94" s="28">
        <v>1</v>
      </c>
      <c r="K94" s="28" t="s">
        <v>144</v>
      </c>
      <c r="L94" s="28">
        <v>12</v>
      </c>
      <c r="M94" s="28" t="s">
        <v>101</v>
      </c>
      <c r="N94" s="28">
        <v>22</v>
      </c>
      <c r="O94" s="28" t="s">
        <v>98</v>
      </c>
    </row>
    <row r="95" spans="1:15" s="14" customFormat="1" ht="27" customHeight="1" x14ac:dyDescent="0.35">
      <c r="A95" s="19">
        <v>93</v>
      </c>
      <c r="B95" s="16" t="s">
        <v>34</v>
      </c>
      <c r="C95" s="16" t="s">
        <v>86</v>
      </c>
      <c r="D95" s="17">
        <v>46169.725694444445</v>
      </c>
      <c r="E95" s="17">
        <v>46169.774305555555</v>
      </c>
      <c r="F95" s="18" t="s">
        <v>36</v>
      </c>
      <c r="G95" s="26" t="s">
        <v>118</v>
      </c>
      <c r="H95" s="26" t="s">
        <v>34</v>
      </c>
      <c r="I95" s="28">
        <v>96</v>
      </c>
      <c r="J95" s="28" t="s">
        <v>144</v>
      </c>
      <c r="K95" s="28">
        <v>168</v>
      </c>
      <c r="L95" s="28">
        <v>3</v>
      </c>
      <c r="M95" s="28" t="s">
        <v>119</v>
      </c>
      <c r="N95" s="28">
        <v>11</v>
      </c>
      <c r="O95" s="28" t="s">
        <v>113</v>
      </c>
    </row>
    <row r="96" spans="1:15" s="14" customFormat="1" ht="27" customHeight="1" x14ac:dyDescent="0.35">
      <c r="A96" s="19">
        <v>94</v>
      </c>
      <c r="B96" s="16" t="s">
        <v>18</v>
      </c>
      <c r="C96" s="16" t="s">
        <v>87</v>
      </c>
      <c r="D96" s="17">
        <v>46169.731944444444</v>
      </c>
      <c r="E96" s="17">
        <v>46169.774305555555</v>
      </c>
      <c r="F96" s="18" t="s">
        <v>19</v>
      </c>
      <c r="G96" s="26" t="s">
        <v>95</v>
      </c>
      <c r="H96" s="26" t="s">
        <v>100</v>
      </c>
      <c r="I96" s="28">
        <v>112</v>
      </c>
      <c r="J96" s="28" t="s">
        <v>144</v>
      </c>
      <c r="K96" s="28">
        <v>112</v>
      </c>
      <c r="L96" s="28">
        <v>11</v>
      </c>
      <c r="M96" s="28" t="s">
        <v>102</v>
      </c>
      <c r="N96" s="28">
        <v>24</v>
      </c>
      <c r="O96" s="28" t="s">
        <v>98</v>
      </c>
    </row>
    <row r="97" spans="1:15" s="14" customFormat="1" ht="27" customHeight="1" x14ac:dyDescent="0.35">
      <c r="A97" s="19">
        <v>95</v>
      </c>
      <c r="B97" s="16" t="s">
        <v>49</v>
      </c>
      <c r="C97" s="16" t="s">
        <v>88</v>
      </c>
      <c r="D97" s="17">
        <v>46169.732638888891</v>
      </c>
      <c r="E97" s="17">
        <v>46169.78125</v>
      </c>
      <c r="F97" s="18" t="s">
        <v>89</v>
      </c>
      <c r="G97" s="26" t="s">
        <v>134</v>
      </c>
      <c r="H97" s="26" t="s">
        <v>135</v>
      </c>
      <c r="I97" s="28">
        <v>149</v>
      </c>
      <c r="J97" s="28" t="s">
        <v>144</v>
      </c>
      <c r="K97" s="28">
        <v>145</v>
      </c>
      <c r="L97" s="28">
        <v>13</v>
      </c>
      <c r="M97" s="28" t="s">
        <v>190</v>
      </c>
      <c r="N97" s="28">
        <v>21</v>
      </c>
      <c r="O97" s="28" t="s">
        <v>98</v>
      </c>
    </row>
    <row r="98" spans="1:15" s="14" customFormat="1" ht="27" customHeight="1" x14ac:dyDescent="0.35">
      <c r="A98" s="19">
        <v>96</v>
      </c>
      <c r="B98" s="16" t="s">
        <v>71</v>
      </c>
      <c r="C98" s="16" t="s">
        <v>90</v>
      </c>
      <c r="D98" s="17">
        <v>46169.732638888891</v>
      </c>
      <c r="E98" s="17">
        <v>46169.777777777781</v>
      </c>
      <c r="F98" s="18" t="s">
        <v>38</v>
      </c>
      <c r="G98" s="26" t="s">
        <v>118</v>
      </c>
      <c r="H98" s="26" t="s">
        <v>133</v>
      </c>
      <c r="I98" s="28">
        <v>145</v>
      </c>
      <c r="J98" s="28" t="s">
        <v>144</v>
      </c>
      <c r="K98" s="28">
        <v>150</v>
      </c>
      <c r="L98" s="28">
        <v>5</v>
      </c>
      <c r="M98" s="28" t="s">
        <v>121</v>
      </c>
      <c r="N98" s="28">
        <v>16</v>
      </c>
      <c r="O98" s="28" t="s">
        <v>113</v>
      </c>
    </row>
    <row r="99" spans="1:15" s="14" customFormat="1" ht="27" customHeight="1" x14ac:dyDescent="0.35">
      <c r="A99" s="19">
        <v>97</v>
      </c>
      <c r="B99" s="16" t="s">
        <v>71</v>
      </c>
      <c r="C99" s="16" t="s">
        <v>93</v>
      </c>
      <c r="D99" s="17">
        <v>46169.770833333336</v>
      </c>
      <c r="E99" s="17">
        <v>46169.815972222219</v>
      </c>
      <c r="F99" s="18" t="s">
        <v>38</v>
      </c>
      <c r="G99" s="26" t="s">
        <v>118</v>
      </c>
      <c r="H99" s="26" t="s">
        <v>133</v>
      </c>
      <c r="I99" s="28">
        <v>142</v>
      </c>
      <c r="J99" s="28" t="s">
        <v>144</v>
      </c>
      <c r="K99" s="28">
        <v>149</v>
      </c>
      <c r="L99" s="28">
        <v>2</v>
      </c>
      <c r="M99" s="28" t="s">
        <v>206</v>
      </c>
      <c r="N99" s="28">
        <v>9</v>
      </c>
      <c r="O99" s="28" t="s">
        <v>113</v>
      </c>
    </row>
    <row r="100" spans="1:15" s="14" customFormat="1" ht="27" customHeight="1" x14ac:dyDescent="0.35">
      <c r="A100" s="19">
        <v>98</v>
      </c>
      <c r="B100" s="16" t="s">
        <v>91</v>
      </c>
      <c r="C100" s="16" t="s">
        <v>92</v>
      </c>
      <c r="D100" s="17">
        <v>46169.798611111109</v>
      </c>
      <c r="E100" s="17">
        <v>46169.881944444445</v>
      </c>
      <c r="F100" s="18" t="s">
        <v>80</v>
      </c>
      <c r="G100" s="26" t="s">
        <v>105</v>
      </c>
      <c r="H100" s="26" t="s">
        <v>133</v>
      </c>
      <c r="I100" s="28">
        <v>193</v>
      </c>
      <c r="J100" s="28" t="s">
        <v>144</v>
      </c>
      <c r="K100" s="28">
        <v>305</v>
      </c>
      <c r="L100" s="28">
        <v>6</v>
      </c>
      <c r="M100" s="28" t="s">
        <v>143</v>
      </c>
      <c r="N100" s="28">
        <v>15</v>
      </c>
      <c r="O100" s="28" t="s">
        <v>113</v>
      </c>
    </row>
    <row r="101" spans="1:15" s="14" customFormat="1" ht="27" customHeight="1" x14ac:dyDescent="0.35">
      <c r="A101" s="19">
        <v>99</v>
      </c>
      <c r="B101" s="16" t="s">
        <v>187</v>
      </c>
      <c r="C101" s="16" t="s">
        <v>188</v>
      </c>
      <c r="D101" s="17">
        <v>46169.809027777781</v>
      </c>
      <c r="E101" s="17">
        <v>46169.888888888891</v>
      </c>
      <c r="F101" s="18" t="s">
        <v>85</v>
      </c>
      <c r="G101" s="26" t="s">
        <v>141</v>
      </c>
      <c r="H101" s="26" t="s">
        <v>114</v>
      </c>
      <c r="I101" s="28">
        <v>303</v>
      </c>
      <c r="J101" s="28" t="s">
        <v>144</v>
      </c>
      <c r="K101" s="28">
        <v>333</v>
      </c>
      <c r="L101" s="28">
        <v>13</v>
      </c>
      <c r="M101" s="28" t="s">
        <v>107</v>
      </c>
      <c r="N101" s="28">
        <v>25</v>
      </c>
      <c r="O101" s="28" t="s">
        <v>98</v>
      </c>
    </row>
    <row r="102" spans="1:15" s="14" customFormat="1" ht="27" customHeight="1" x14ac:dyDescent="0.35">
      <c r="A102" s="19">
        <v>100</v>
      </c>
      <c r="B102" s="16" t="s">
        <v>17</v>
      </c>
      <c r="C102" s="16" t="s">
        <v>252</v>
      </c>
      <c r="D102" s="17">
        <v>46169.82916666667</v>
      </c>
      <c r="E102" s="17">
        <v>46169.90625</v>
      </c>
      <c r="F102" s="18" t="s">
        <v>205</v>
      </c>
      <c r="G102" s="26" t="s">
        <v>99</v>
      </c>
      <c r="H102" s="26" t="s">
        <v>100</v>
      </c>
      <c r="I102" s="28" t="s">
        <v>144</v>
      </c>
      <c r="J102" s="28" t="s">
        <v>144</v>
      </c>
      <c r="K102" s="28">
        <v>140</v>
      </c>
      <c r="L102" s="28">
        <v>11</v>
      </c>
      <c r="M102" s="28" t="s">
        <v>104</v>
      </c>
      <c r="N102" s="28">
        <v>24</v>
      </c>
      <c r="O102" s="28" t="s">
        <v>98</v>
      </c>
    </row>
    <row r="103" spans="1:15" s="14" customFormat="1" ht="27" customHeight="1" x14ac:dyDescent="0.35">
      <c r="A103" s="19">
        <v>101</v>
      </c>
      <c r="B103" s="16" t="s">
        <v>21</v>
      </c>
      <c r="C103" s="16" t="s">
        <v>94</v>
      </c>
      <c r="D103" s="17">
        <v>46169.84652777778</v>
      </c>
      <c r="E103" s="17">
        <v>46169.895138888889</v>
      </c>
      <c r="F103" s="18" t="s">
        <v>27</v>
      </c>
      <c r="G103" s="26" t="s">
        <v>138</v>
      </c>
      <c r="H103" s="26" t="s">
        <v>106</v>
      </c>
      <c r="I103" s="28">
        <v>74</v>
      </c>
      <c r="J103" s="28" t="s">
        <v>144</v>
      </c>
      <c r="K103" s="28">
        <v>93</v>
      </c>
      <c r="L103" s="28">
        <v>1</v>
      </c>
      <c r="M103" s="28" t="s">
        <v>206</v>
      </c>
      <c r="N103" s="28">
        <v>8</v>
      </c>
      <c r="O103" s="28" t="s">
        <v>113</v>
      </c>
    </row>
    <row r="104" spans="1:15" s="14" customFormat="1" ht="27" customHeight="1" x14ac:dyDescent="0.35">
      <c r="A104" s="19">
        <v>102</v>
      </c>
      <c r="B104" s="16" t="s">
        <v>17</v>
      </c>
      <c r="C104" s="16" t="s">
        <v>197</v>
      </c>
      <c r="D104" s="17">
        <v>46169.850694444445</v>
      </c>
      <c r="E104" s="17" t="s">
        <v>145</v>
      </c>
      <c r="F104" s="18" t="s">
        <v>268</v>
      </c>
      <c r="G104" s="26" t="s">
        <v>99</v>
      </c>
      <c r="H104" s="26" t="s">
        <v>100</v>
      </c>
      <c r="I104" s="28">
        <v>141</v>
      </c>
      <c r="J104" s="28">
        <v>13</v>
      </c>
      <c r="K104" s="28" t="s">
        <v>144</v>
      </c>
      <c r="L104" s="28">
        <v>12</v>
      </c>
      <c r="M104" s="28" t="s">
        <v>102</v>
      </c>
      <c r="N104" s="28">
        <v>20</v>
      </c>
      <c r="O104" s="28" t="s">
        <v>98</v>
      </c>
    </row>
    <row r="105" spans="1:15" s="14" customFormat="1" ht="27" customHeight="1" x14ac:dyDescent="0.35">
      <c r="A105" s="19">
        <v>103</v>
      </c>
      <c r="B105" s="16" t="s">
        <v>17</v>
      </c>
      <c r="C105" s="16" t="s">
        <v>208</v>
      </c>
      <c r="D105" s="17">
        <v>46169.979166666664</v>
      </c>
      <c r="E105" s="17" t="s">
        <v>145</v>
      </c>
      <c r="F105" s="18" t="s">
        <v>269</v>
      </c>
      <c r="G105" s="26" t="s">
        <v>99</v>
      </c>
      <c r="H105" s="26" t="s">
        <v>100</v>
      </c>
      <c r="I105" s="28">
        <v>123</v>
      </c>
      <c r="J105" s="28">
        <v>17</v>
      </c>
      <c r="K105" s="28" t="s">
        <v>144</v>
      </c>
      <c r="L105" s="28">
        <v>11</v>
      </c>
      <c r="M105" s="28" t="s">
        <v>102</v>
      </c>
      <c r="N105" s="28">
        <v>24</v>
      </c>
      <c r="O105" s="28" t="s">
        <v>98</v>
      </c>
    </row>
    <row r="106" spans="1:15" s="7" customFormat="1" ht="27" customHeight="1" x14ac:dyDescent="0.3">
      <c r="A106" s="19"/>
      <c r="B106" s="16"/>
      <c r="C106" s="16"/>
      <c r="D106" s="17"/>
      <c r="E106" s="17"/>
      <c r="F106" s="18"/>
      <c r="G106" s="29"/>
      <c r="H106" s="18"/>
      <c r="I106" s="13">
        <f>SUM(I4:I102)</f>
        <v>14506</v>
      </c>
      <c r="J106" s="13">
        <f>SUM(J3:J102)</f>
        <v>275</v>
      </c>
      <c r="K106" s="13">
        <f>SUM(K3:K102)</f>
        <v>15572</v>
      </c>
      <c r="L106" s="30"/>
      <c r="M106" s="30"/>
      <c r="N106" s="30"/>
      <c r="O106" s="30"/>
    </row>
    <row r="107" spans="1:15" ht="15" x14ac:dyDescent="0.2">
      <c r="A107" s="1"/>
      <c r="H107" s="1"/>
      <c r="M107" s="1"/>
    </row>
    <row r="108" spans="1:15" ht="15" x14ac:dyDescent="0.2">
      <c r="A108" s="1"/>
      <c r="H108" s="1"/>
      <c r="M108" s="1"/>
    </row>
    <row r="109" spans="1:15" ht="15" x14ac:dyDescent="0.2">
      <c r="A109" s="1"/>
      <c r="D109" s="9"/>
      <c r="E109" s="9"/>
      <c r="H109" s="1"/>
      <c r="M109" s="1"/>
    </row>
    <row r="110" spans="1:15" ht="15" x14ac:dyDescent="0.2">
      <c r="A110" s="1"/>
      <c r="D110" s="9"/>
      <c r="E110" s="9"/>
      <c r="H110" s="1"/>
      <c r="M110" s="1"/>
    </row>
    <row r="111" spans="1:15" ht="15" x14ac:dyDescent="0.2">
      <c r="A111" s="1"/>
      <c r="D111" s="9"/>
      <c r="E111" s="9"/>
      <c r="H111" s="1"/>
      <c r="M111" s="1"/>
    </row>
    <row r="112" spans="1:15" ht="15" x14ac:dyDescent="0.2">
      <c r="A112" s="1"/>
      <c r="D112" s="9"/>
      <c r="E112" s="9"/>
      <c r="H112" s="1"/>
      <c r="M112" s="1"/>
    </row>
    <row r="113" spans="1:13" ht="15" x14ac:dyDescent="0.2">
      <c r="A113" s="1"/>
      <c r="D113" s="9"/>
      <c r="E113" s="9"/>
      <c r="H113" s="1"/>
      <c r="M113" s="1"/>
    </row>
    <row r="114" spans="1:13" ht="15" x14ac:dyDescent="0.2">
      <c r="A114" s="1"/>
      <c r="D114" s="9"/>
      <c r="E114" s="9"/>
      <c r="H114" s="1"/>
      <c r="M114" s="1"/>
    </row>
    <row r="115" spans="1:13" ht="15" x14ac:dyDescent="0.2">
      <c r="A115" s="1"/>
      <c r="D115" s="9"/>
      <c r="E115" s="9"/>
      <c r="H115" s="1"/>
      <c r="M115" s="1"/>
    </row>
    <row r="116" spans="1:13" ht="15" x14ac:dyDescent="0.2">
      <c r="A116" s="1"/>
      <c r="D116" s="9"/>
      <c r="E116" s="9"/>
      <c r="H116" s="1"/>
      <c r="M116" s="1"/>
    </row>
    <row r="117" spans="1:13" ht="15" x14ac:dyDescent="0.2">
      <c r="A117" s="1"/>
      <c r="D117" s="9"/>
      <c r="E117" s="9"/>
      <c r="H117" s="1"/>
      <c r="M117" s="1"/>
    </row>
    <row r="118" spans="1:13" x14ac:dyDescent="0.3">
      <c r="D118" s="9"/>
      <c r="E118" s="9"/>
    </row>
    <row r="119" spans="1:13" x14ac:dyDescent="0.3">
      <c r="D119" s="9"/>
      <c r="E119" s="9"/>
    </row>
    <row r="120" spans="1:13" x14ac:dyDescent="0.3">
      <c r="D120" s="9"/>
      <c r="E120" s="9"/>
    </row>
  </sheetData>
  <autoFilter ref="A2:O106" xr:uid="{00000000-0001-0000-0000-000000000000}"/>
  <customSheetViews>
    <customSheetView guid="{FA56863A-4051-4578-AF28-08DCC59DE096}" scale="55" showPageBreaks="1" printArea="1" showAutoFilter="1" view="pageBreakPreview">
      <selection activeCell="E6" sqref="E6"/>
      <colBreaks count="1" manualBreakCount="1">
        <brk id="16" max="80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1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2:O106" xr:uid="{00000000-0001-0000-0000-000000000000}"/>
    </customSheetView>
    <customSheetView guid="{2DFC5A74-9126-4E47-8A33-7DDA70BEB139}" scale="55" showPageBreaks="1" printArea="1" showAutoFilter="1" view="pageBreakPreview">
      <selection activeCell="G23" sqref="G23"/>
      <rowBreaks count="1" manualBreakCount="1">
        <brk id="173" max="13" man="1"/>
      </rowBreaks>
      <pageMargins left="0.196850393700787" right="0.196850393700787" top="0.6875" bottom="0" header="0.39370078740157499" footer="0"/>
      <printOptions horizontalCentered="1"/>
      <pageSetup paperSize="5" scale="22" firstPageNumber="25" fitToHeight="0" orientation="portrait" useFirstPageNumber="1" r:id="rId2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2:O118" xr:uid="{A9E0331A-3B70-4F63-A604-6ACB818ED191}"/>
    </customSheetView>
    <customSheetView guid="{24FDD27A-10A3-4ED6-AEBC-7457D56023F7}" scale="55" showPageBreaks="1" fitToPage="1" printArea="1" showAutoFilter="1" view="pageBreakPreview" topLeftCell="A77">
      <selection activeCell="G93" sqref="G93"/>
      <rowBreaks count="1" manualBreakCount="1">
        <brk id="174" max="13" man="1"/>
      </rowBreaks>
      <pageMargins left="0.196850393700787" right="0.196850393700787" top="0.6875" bottom="0" header="0.39370078740157499" footer="0"/>
      <printOptions horizontalCentered="1"/>
      <pageSetup paperSize="5" scale="30" firstPageNumber="25" orientation="portrait" useFirstPageNumber="1" r:id="rId3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2:O109" xr:uid="{99B55071-BE09-489D-868F-06FD77F26EE4}"/>
    </customSheetView>
    <customSheetView guid="{2C926DA5-F3E2-45B3-ABBA-768705894B24}" scale="55" showPageBreaks="1" printArea="1" showAutoFilter="1" view="pageBreakPreview">
      <selection activeCell="S13" sqref="S13"/>
      <rowBreaks count="1" manualBreakCount="1">
        <brk id="170" max="13" man="1"/>
      </rowBreaks>
      <pageMargins left="0.196850393700787" right="0.196850393700787" top="0.6875" bottom="0" header="0.39370078740157499" footer="0"/>
      <printOptions horizontalCentered="1"/>
      <pageSetup paperSize="5" scale="20" firstPageNumber="25" fitToHeight="0" orientation="portrait" useFirstPageNumber="1" r:id="rId4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2:O105" xr:uid="{F80F1864-B451-482E-A83E-0CB91783EA9B}"/>
    </customSheetView>
    <customSheetView guid="{90709DCE-1CDA-480D-AF11-A2D2EE072AA4}" scale="55" showPageBreaks="1" showAutoFilter="1" view="pageBreakPreview">
      <selection activeCell="H13" sqref="H13"/>
      <colBreaks count="1" manualBreakCount="1">
        <brk id="16" max="80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5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O130" xr:uid="{0C9AE0E2-0D0C-450B-83DB-2CFA2D206A01}"/>
    </customSheetView>
    <customSheetView guid="{DFE4709F-A2E7-47C8-B03E-7B313722AB9D}" scale="55" showPageBreaks="1" printArea="1" showAutoFilter="1" view="pageBreakPreview" topLeftCell="A19">
      <selection activeCell="J10" sqref="J10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6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O130" xr:uid="{4BC042C9-76D7-4422-8C5D-C18D6624501E}"/>
    </customSheetView>
    <customSheetView guid="{1C80AB49-C1C9-4B47-A6C1-045128D1B411}" scale="70" showPageBreaks="1" printArea="1" showAutoFilter="1" view="pageBreakPreview">
      <selection activeCell="E7" sqref="E7"/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7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O123" xr:uid="{F4CD679A-9EAE-4CD5-AA41-EDFB413909A7}"/>
    </customSheetView>
    <customSheetView guid="{AC52F8A8-24C3-4F0E-A08C-EBB5B5B46AFE}" scale="55" showPageBreaks="1" printArea="1" showAutoFilter="1" view="pageBreakPreview">
      <selection activeCell="K130" sqref="K130"/>
      <rowBreaks count="1" manualBreakCount="1">
        <brk id="173" max="13" man="1"/>
      </rowBreaks>
      <pageMargins left="0.196850393700787" right="0.196850393700787" top="0.6875" bottom="0" header="0.39370078740157499" footer="0"/>
      <printOptions horizontalCentered="1"/>
      <pageSetup paperSize="5" scale="22" firstPageNumber="25" fitToHeight="0" orientation="portrait" useFirstPageNumber="1" r:id="rId8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O129" xr:uid="{00E224AF-5AE4-4BBB-AEF5-D7C372E2967F}"/>
    </customSheetView>
    <customSheetView guid="{20AC43E0-7109-4AF7-AF1C-A0ACA56F53E6}" scale="65" showPageBreaks="1" showAutoFilter="1" hiddenColumns="1" view="pageBreakPreview">
      <selection activeCell="M10" sqref="M10"/>
      <colBreaks count="1" manualBreakCount="1">
        <brk id="16" max="1048575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9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33" xr:uid="{192E4E60-F636-40AA-9C1A-EF636B090D79}"/>
    </customSheetView>
    <customSheetView guid="{1883C7A0-64D7-455F-BC9A-3909DE3DB9F8}" scale="55" showPageBreaks="1" filter="1" showAutoFilter="1" hiddenColumns="1" view="pageBreakPreview">
      <selection activeCell="I132" sqref="I132"/>
      <colBreaks count="1" manualBreakCount="1">
        <brk id="16" max="80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10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31" xr:uid="{811C3A2C-05B6-4793-9165-A13298A07C0C}">
        <filterColumn colId="1">
          <filters>
            <filter val="FLAIR AIRLINES"/>
          </filters>
        </filterColumn>
        <filterColumn colId="8">
          <filters blank="1"/>
        </filterColumn>
      </autoFilter>
    </customSheetView>
    <customSheetView guid="{A920C77D-7F54-488F-9D03-7F4525345E95}" scale="55" showPageBreaks="1" printArea="1" showAutoFilter="1" hiddenColumns="1" view="pageBreakPreview">
      <selection activeCell="L142" sqref="L142"/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11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41" xr:uid="{E42235B1-A1EF-471D-A165-E02C98C2687E}"/>
    </customSheetView>
    <customSheetView guid="{0B509372-F65F-4662-A8C5-182E8739E56E}" scale="55" showPageBreaks="1" printArea="1" filter="1" showAutoFilter="1" hiddenColumns="1" view="pageBreakPreview">
      <selection activeCell="B32" sqref="B32"/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12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04" xr:uid="{E76B946D-1967-4E43-8975-DCDB221154D7}">
        <filterColumn colId="8">
          <filters blank="1"/>
        </filterColumn>
      </autoFilter>
    </customSheetView>
    <customSheetView guid="{A866C1B7-78F3-4067-89B2-330E0D53500A}" scale="55" showPageBreaks="1" printArea="1" showAutoFilter="1" hiddenColumns="1" view="pageBreakPreview" topLeftCell="A64">
      <selection activeCell="F78" sqref="F78"/>
      <rowBreaks count="1" manualBreakCount="1">
        <brk id="161" max="13" man="1"/>
      </rowBreaks>
      <pageMargins left="0.196850393700787" right="0.196850393700787" top="0.6875" bottom="0" header="0.39370078740157499" footer="0"/>
      <printOptions horizontalCentered="1"/>
      <pageSetup paperSize="5" scale="20" firstPageNumber="25" fitToHeight="0" orientation="portrait" useFirstPageNumber="1" r:id="rId13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90" xr:uid="{9B557745-988F-4F8F-A3A6-10F0A3F1D039}"/>
    </customSheetView>
    <customSheetView guid="{95E57E58-8356-446E-9D54-EE5EBFD6747E}" scale="55" showPageBreaks="1" printArea="1" showAutoFilter="1" hiddenColumns="1" view="pageBreakPreview">
      <selection activeCell="H10" sqref="H10"/>
      <pageMargins left="0.196850393700787" right="0.196850393700787" top="0.6875" bottom="0" header="0.39370078740157499" footer="0"/>
      <printOptions horizontalCentered="1"/>
      <pageSetup paperSize="5" scale="26" firstPageNumber="25" fitToHeight="0" orientation="portrait" useFirstPageNumber="1" r:id="rId14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86" xr:uid="{4271D7F8-2567-453B-B486-71615C5DF100}">
        <sortState xmlns:xlrd2="http://schemas.microsoft.com/office/spreadsheetml/2017/richdata2" ref="A5:P86">
          <sortCondition ref="D3:D86"/>
        </sortState>
      </autoFilter>
    </customSheetView>
    <customSheetView guid="{3989E237-CFE7-4ED0-AD68-AE8440856B67}" scale="85" showPageBreaks="1" printArea="1" showAutoFilter="1" view="pageBreakPreview">
      <selection activeCell="G69" sqref="G69"/>
      <rowBreaks count="1" manualBreakCount="1">
        <brk id="165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15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99" xr:uid="{32C4D85D-B8F0-41DE-BE39-C3D02BEC7EFA}">
        <sortState xmlns:xlrd2="http://schemas.microsoft.com/office/spreadsheetml/2017/richdata2" ref="A13:P99">
          <sortCondition ref="D3:D99"/>
        </sortState>
      </autoFilter>
    </customSheetView>
    <customSheetView guid="{C1F9436A-C536-4A56-836E-9CA73206C0D7}" scale="55" showPageBreaks="1" printArea="1" showAutoFilter="1" view="pageBreakPreview" topLeftCell="A79">
      <selection activeCell="M105" sqref="M105"/>
      <rowBreaks count="1" manualBreakCount="1">
        <brk id="175" max="13" man="1"/>
      </rowBreaks>
      <pageMargins left="0.196850393700787" right="0.196850393700787" top="0.6875" bottom="0" header="0.39370078740157499" footer="0"/>
      <printOptions horizontalCentered="1"/>
      <pageSetup paperSize="5" scale="26" firstPageNumber="25" fitToHeight="0" orientation="portrait" useFirstPageNumber="1" r:id="rId16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04" xr:uid="{6EEE5D80-F5BA-4EEA-9B5C-6F4659B284B0}"/>
    </customSheetView>
    <customSheetView guid="{36BAE4F1-545D-451B-981E-D0F138A15196}" scale="55" showPageBreaks="1" printArea="1" filter="1" showAutoFilter="1" hiddenColumns="1" view="pageBreakPreview">
      <selection activeCell="P117" sqref="P117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17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41" xr:uid="{2701C16E-F6ED-465B-8041-35D7A1AE78DB}">
        <filterColumn colId="1">
          <filters>
            <filter val="DELTA AIRLINES"/>
          </filters>
        </filterColumn>
      </autoFilter>
    </customSheetView>
    <customSheetView guid="{10008C5C-A4D1-48FA-8FA6-39A95B03682D}" scale="85" showPageBreaks="1" printArea="1" filter="1" showAutoFilter="1" hiddenColumns="1" view="pageBreakPreview" topLeftCell="B1">
      <selection activeCell="B3" sqref="B3"/>
      <pageMargins left="0.196850393700787" right="0.196850393700787" top="0.6875" bottom="0" header="0.39370078740157499" footer="0"/>
      <printOptions horizontalCentered="1"/>
      <pageSetup paperSize="5" scale="26" firstPageNumber="25" fitToHeight="0" orientation="portrait" useFirstPageNumber="1" r:id="rId18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27" xr:uid="{629637EB-4B9A-49C9-8F1B-F9E1A257CD43}">
        <filterColumn colId="1">
          <filters>
            <filter val="SOUTHWEST AIRLINES"/>
          </filters>
        </filterColumn>
        <filterColumn colId="15">
          <filters>
            <filter val="B"/>
          </filters>
        </filterColumn>
      </autoFilter>
    </customSheetView>
    <customSheetView guid="{E8DEC859-2E0A-41F0-AEFE-3533977A4E3E}" scale="85" showPageBreaks="1" printArea="1" filter="1" showAutoFilter="1" hiddenColumns="1" view="pageBreakPreview">
      <selection activeCell="A22" sqref="A22:XFD22"/>
      <rowBreaks count="1" manualBreakCount="1">
        <brk id="164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19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97" xr:uid="{49BF9C5C-F786-4F85-9449-A8F2329930D9}">
        <filterColumn colId="1">
          <filters>
            <filter val="ARAJET"/>
          </filters>
        </filterColumn>
      </autoFilter>
    </customSheetView>
    <customSheetView guid="{1C0E9B68-E53B-4666-BEE9-801AE794CE48}" scale="55" showPageBreaks="1" printArea="1" view="pageBreakPreview">
      <selection activeCell="H99" sqref="H99"/>
      <rowBreaks count="1" manualBreakCount="1">
        <brk id="99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0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</customSheetView>
    <customSheetView guid="{681567F5-7C38-4712-BF0F-31608B846AE3}" scale="55" showPageBreaks="1" printArea="1" showAutoFilter="1" view="pageBreakPreview">
      <selection activeCell="H65" sqref="H65"/>
      <pageMargins left="0.196850393700787" right="0.196850393700787" top="0.6875" bottom="0" header="0.39370078740157499" footer="0"/>
      <printOptions horizontalCentered="1"/>
      <pageSetup paperSize="5" scale="26" firstPageNumber="25" fitToHeight="0" orientation="portrait" useFirstPageNumber="1" r:id="rId21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64" xr:uid="{742D7178-D2B9-47D2-82D4-92C4B7F8D8DE}"/>
    </customSheetView>
    <customSheetView guid="{72D10AEA-9D5A-4A1F-AEDE-745E9DA616DD}" scale="55" showPageBreaks="1" printArea="1" showAutoFilter="1" view="pageBreakPreview">
      <selection activeCell="I41" sqref="I41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2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67" xr:uid="{CF4FD970-4057-4A65-ADD0-A79FE1C60AB1}"/>
    </customSheetView>
    <customSheetView guid="{B08B09D8-897F-4FEA-9ADF-9809C84CF963}" scale="55" printArea="1" filter="1" showAutoFilter="1">
      <selection activeCell="J85" sqref="J85"/>
      <rowBreaks count="1" manualBreakCount="1">
        <brk id="102" max="13" man="1"/>
      </rowBreaks>
      <pageMargins left="0.196850393700787" right="0.196850393700787" top="0.6875" bottom="0" header="0.39370078740157499" footer="0"/>
      <printOptions horizontalCentered="1"/>
      <pageSetup paperSize="5" scale="30" firstPageNumber="25" fitToHeight="0" orientation="portrait" useFirstPageNumber="1" r:id="rId23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84" xr:uid="{FFA64026-FBEF-4502-B7D1-276AC653E015}">
        <filterColumn colId="1">
          <filters>
            <filter val="DELTA AIRLINES"/>
          </filters>
        </filterColumn>
      </autoFilter>
    </customSheetView>
    <customSheetView guid="{29B34E39-649B-416A-BC3B-F9490368C72E}" scale="55" showPageBreaks="1" fitToPage="1" printArea="1" filter="1" showAutoFilter="1" view="pageBreakPreview">
      <selection activeCell="A4" sqref="A4:N5"/>
      <pageMargins left="0.196850393700787" right="0.196850393700787" top="0.6875" bottom="0" header="0.39370078740157499" footer="0"/>
      <printOptions horizontalCentered="1"/>
      <pageSetup paperSize="5" scale="30" firstPageNumber="25" fitToHeight="0" orientation="portrait" useFirstPageNumber="1" r:id="rId24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88" xr:uid="{0EAC8655-6D90-45AD-A498-AFEE31DA38B9}">
        <filterColumn colId="13">
          <filters>
            <filter val="A"/>
          </filters>
        </filterColumn>
      </autoFilter>
    </customSheetView>
    <customSheetView guid="{03086586-7824-4E09-8736-A995ACDF847C}" scale="55" showPageBreaks="1" printArea="1" filter="1" showAutoFilter="1" view="pageBreakPreview" topLeftCell="A59">
      <selection activeCell="L92" sqref="L92"/>
      <rowBreaks count="1" manualBreakCount="1">
        <brk id="135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5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91" xr:uid="{CEA3E2B4-4802-4166-950E-A533CB137DE9}">
        <filterColumn colId="13">
          <filters>
            <filter val="A"/>
          </filters>
        </filterColumn>
        <sortState xmlns:xlrd2="http://schemas.microsoft.com/office/spreadsheetml/2017/richdata2" ref="A4:N91">
          <sortCondition ref="B3:B91"/>
        </sortState>
      </autoFilter>
    </customSheetView>
    <customSheetView guid="{3FA81F90-EAC3-4AA7-B377-3A65BE32742A}" scale="55" showPageBreaks="1" printArea="1" showAutoFilter="1" view="pageBreakPreview">
      <selection activeCell="L10" sqref="L10"/>
      <rowBreaks count="1" manualBreakCount="1">
        <brk id="105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6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98" xr:uid="{7FB8AFEB-662E-469A-8BCA-F2AB739EA4D8}"/>
    </customSheetView>
    <customSheetView guid="{B23C6C60-3138-4B61-A8A8-47F5982D7283}" scale="55" showPageBreaks="1" printArea="1" view="pageBreakPreview">
      <selection activeCell="A5" sqref="A5:A96"/>
      <rowBreaks count="1" manualBreakCount="1">
        <brk id="117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7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</customSheetView>
    <customSheetView guid="{CB26C1B7-ACE1-4D0A-8093-67D28491D27F}" scale="55" showPageBreaks="1" printArea="1" view="pageBreakPreview">
      <selection activeCell="H12" sqref="H12"/>
      <pageMargins left="0.196850393700787" right="0.196850393700787" top="0.6875" bottom="0" header="0.39370078740157499" footer="0"/>
      <printOptions horizontalCentered="1"/>
      <pageSetup paperSize="5" scale="26" firstPageNumber="25" fitToHeight="0" orientation="portrait" useFirstPageNumber="1" r:id="rId28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</customSheetView>
    <customSheetView guid="{94142418-3156-49E8-B844-722E5EB1AB1D}" scale="85" showPageBreaks="1" printArea="1" showAutoFilter="1" view="pageBreakPreview" topLeftCell="A43">
      <selection activeCell="B83" sqref="B83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29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84" xr:uid="{F693CC18-DC67-4066-A058-8D611E09E40F}"/>
    </customSheetView>
    <customSheetView guid="{F2D5E524-50F8-4379-A5A3-4CF04A248C6F}" scale="55" showPageBreaks="1" printArea="1" showAutoFilter="1" view="pageBreakPreview">
      <selection activeCell="J8" sqref="J8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30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N58" xr:uid="{24109601-730E-42AF-8B5E-82338AC1C2F3}"/>
    </customSheetView>
    <customSheetView guid="{7D3E8508-B7DC-4CBD-A9D4-35F364BC1D81}" scale="55" fitToPage="1" printArea="1" showAutoFilter="1">
      <selection activeCell="G84" sqref="G84"/>
      <rowBreaks count="1" manualBreakCount="1">
        <brk id="99" max="13" man="1"/>
      </rowBreaks>
      <pageMargins left="0.196850393700787" right="0.196850393700787" top="0.6875" bottom="0" header="0.39370078740157499" footer="0"/>
      <printOptions horizontalCentered="1"/>
      <pageSetup scale="29" firstPageNumber="25" fitToHeight="0" orientation="portrait" useFirstPageNumber="1" r:id="rId31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83" xr:uid="{F82043BC-5CE4-44EF-8B33-8E50DBE214F6}"/>
    </customSheetView>
    <customSheetView guid="{F0B8FFC6-20B0-45DE-9311-A6A9D98DE641}" scale="55" showPageBreaks="1" printArea="1" filter="1" showAutoFilter="1" hiddenColumns="1" view="pageBreakPreview">
      <selection activeCell="A3" sqref="A3:XFD3"/>
      <rowBreaks count="1" manualBreakCount="1">
        <brk id="171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32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91" xr:uid="{8F6B59B0-FEE1-40E6-8CF7-CE62BD601CA3}">
        <filterColumn colId="8">
          <filters blank="1"/>
        </filterColumn>
      </autoFilter>
    </customSheetView>
    <customSheetView guid="{D480CDC4-F9DD-422C-8568-D6BD2B850612}" scale="55" showPageBreaks="1" printArea="1" view="pageBreakPreview" topLeftCell="A79">
      <selection activeCell="L14" sqref="L14"/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33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</customSheetView>
    <customSheetView guid="{A00AF441-9A62-4791-B5DB-F4B50DAC5E95}" scale="55" showPageBreaks="1" printArea="1" showAutoFilter="1" view="pageBreakPreview">
      <selection activeCell="B15" sqref="B15"/>
      <pageMargins left="0.196850393700787" right="0.196850393700787" top="0.6875" bottom="0" header="0.39370078740157499" footer="0"/>
      <printOptions horizontalCentered="1"/>
      <pageSetup paperSize="5" scale="25" firstPageNumber="25" fitToHeight="0" orientation="portrait" useFirstPageNumber="1" r:id="rId34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09" xr:uid="{D203D58F-6303-41E3-918C-600A4EC1F865}"/>
    </customSheetView>
    <customSheetView guid="{7FAF8668-8C90-4467-9A43-07B229AD4315}" scale="70" showPageBreaks="1" printArea="1" showAutoFilter="1" hiddenColumns="1" view="pageBreakPreview" topLeftCell="A88">
      <selection activeCell="I97" sqref="I97"/>
      <colBreaks count="1" manualBreakCount="1">
        <brk id="16" max="1048575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35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00" xr:uid="{098EC494-F678-4208-A09F-28275C82ACCD}"/>
    </customSheetView>
    <customSheetView guid="{0B00F9FE-457A-4763-9AC1-CFA1966B22A2}" scale="55" showPageBreaks="1" printArea="1" filter="1" showAutoFilter="1" hiddenColumns="1" view="pageBreakPreview">
      <selection activeCell="O116" sqref="N116:O116"/>
      <colBreaks count="1" manualBreakCount="1">
        <brk id="16" max="80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36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30" xr:uid="{F892B33D-CE2C-454F-98B0-4232431B2AB7}">
        <filterColumn colId="13">
          <filters blank="1">
            <filter val="B20"/>
            <filter val="B21"/>
            <filter val="B22"/>
            <filter val="B23A"/>
            <filter val="B23B"/>
            <filter val="B24"/>
            <filter val="B25"/>
            <filter val="B26A"/>
            <filter val="B27"/>
            <filter val="B28"/>
            <filter val="B29"/>
            <filter val="B30"/>
            <filter val="B31"/>
            <filter val="B32"/>
            <filter val="B34"/>
            <filter val="B36"/>
            <filter val="B37"/>
          </filters>
        </filterColumn>
      </autoFilter>
    </customSheetView>
    <customSheetView guid="{40AD95B9-4950-4365-9849-FE31EFCBEC6E}" scale="55" showPageBreaks="1" showAutoFilter="1" hiddenColumns="1" view="pageBreakPreview">
      <selection activeCell="F22" sqref="F22"/>
      <rowBreaks count="1" manualBreakCount="1">
        <brk id="164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37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P128" xr:uid="{7E9B91D6-8DA3-4D97-B238-6766F20ACB87}"/>
    </customSheetView>
    <customSheetView guid="{5E450AB8-D6B9-42D3-8450-6BE57DBC677A}" scale="75" showPageBreaks="1" printArea="1" showAutoFilter="1" view="pageBreakPreview">
      <selection activeCell="C127" sqref="C127"/>
      <rowBreaks count="1" manualBreakCount="1">
        <brk id="205" max="13" man="1"/>
      </rowBreaks>
      <pageMargins left="0.196850393700787" right="0.196850393700787" top="0.6875" bottom="0" header="0.39370078740157499" footer="0"/>
      <printOptions horizontalCentered="1"/>
      <pageSetup paperSize="5" scale="27" firstPageNumber="25" fitToHeight="0" orientation="portrait" useFirstPageNumber="1" r:id="rId38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3:O131" xr:uid="{C65EDF0E-D747-41E4-AB02-E3E08E5A17B7}"/>
    </customSheetView>
    <customSheetView guid="{45DE89A6-9715-48B1-98AE-DF380FBDDCE7}" scale="65" showPageBreaks="1" showAutoFilter="1" view="pageBreakPreview">
      <selection activeCell="C14" sqref="C14"/>
      <colBreaks count="1" manualBreakCount="1">
        <brk id="16" max="1048575" man="1"/>
      </colBreaks>
      <pageMargins left="0.196850393700787" right="0.196850393700787" top="0.6875" bottom="0" header="0.39370078740157499" footer="0"/>
      <printOptions horizontalCentered="1"/>
      <pageSetup paperSize="5" scale="24" firstPageNumber="25" fitToHeight="0" orientation="portrait" useFirstPageNumber="1" r:id="rId39"/>
      <headerFooter alignWithMargins="0">
        <oddHeader>&amp;L&amp;G&amp;C&amp;"Arial,Bold"&amp;16
ASIGNACIÓN DE CORREAS, POSICIONES Y GATES AIPC &amp;R&amp;11Versión 2
Vigencia: May/23
CAE-GOA-F23</oddHeader>
        <oddFooter>&amp;C&amp;12NO SE PERMITEN CAMBIOS SIN PREVIA AUTORIZACION DE LOS SUPERVISORES DE OPERACIONES TERMINAL O AIRSIDE&amp;10
RECUERDA DEJAR EL AREA DE COUNTERS, GATES Y POSICIONES EN RAMPA LIMPIAS AL FINALIZAR TUS OPERACIONES</oddFooter>
      </headerFooter>
      <autoFilter ref="A2:O110" xr:uid="{44505CF7-9C42-48BC-B9CF-619599000A87}"/>
    </customSheetView>
  </customSheetViews>
  <phoneticPr fontId="15" type="noConversion"/>
  <printOptions horizontalCentered="1"/>
  <pageMargins left="0.196850393700787" right="0.196850393700787" top="0.6875" bottom="0" header="0.39370078740157499" footer="0"/>
  <pageSetup paperSize="5" scale="24" firstPageNumber="25" fitToHeight="0" orientation="portrait" useFirstPageNumber="1" r:id="rId40"/>
  <headerFooter alignWithMargins="0">
    <oddHeader>&amp;L&amp;G&amp;C&amp;"Arial,Bold"&amp;16
ASIGNACIÓN DE CORREAS, POSICIONES Y GATES AIPC &amp;R&amp;11Versión 2
Vigencia: May/23
CAE-GOA-F23</oddHeader>
    <oddFooter>&amp;C&amp;12NO SE PERMITEN CAMBIOS SIN PREVIA AUTORIZACION DE LOS SUPERVISORES DE OPERACIONES TERMINAL O AIRSIDE&amp;10
RECUERDA DEJAR EL AREA DE COUNTERS, GATES Y POSICIONES EN RAMPA LIMPIAS AL FINALIZAR TUS OPERACIONES</oddFooter>
  </headerFooter>
  <colBreaks count="1" manualBreakCount="1">
    <brk id="16" max="80" man="1"/>
  </colBreaks>
  <legacyDrawingHF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F411A-3785-41AA-BF87-95AFDA981116}">
  <dimension ref="A1"/>
  <sheetViews>
    <sheetView workbookViewId="0"/>
  </sheetViews>
  <sheetFormatPr defaultColWidth="9.140625" defaultRowHeight="12.75" x14ac:dyDescent="0.2"/>
  <sheetData/>
  <customSheetViews>
    <customSheetView guid="{FA56863A-4051-4578-AF28-08DCC59DE096}" state="hidden">
      <pageMargins left="0.7" right="0.7" top="0.75" bottom="0.75" header="0.3" footer="0.3"/>
    </customSheetView>
    <customSheetView guid="{2DFC5A74-9126-4E47-8A33-7DDA70BEB139}" state="hidden">
      <pageMargins left="0.7" right="0.7" top="0.75" bottom="0.75" header="0.3" footer="0.3"/>
    </customSheetView>
    <customSheetView guid="{24FDD27A-10A3-4ED6-AEBC-7457D56023F7}" state="hidden">
      <pageMargins left="0.7" right="0.7" top="0.75" bottom="0.75" header="0.3" footer="0.3"/>
    </customSheetView>
    <customSheetView guid="{2C926DA5-F3E2-45B3-ABBA-768705894B24}" state="hidden">
      <pageMargins left="0.7" right="0.7" top="0.75" bottom="0.75" header="0.3" footer="0.3"/>
    </customSheetView>
    <customSheetView guid="{90709DCE-1CDA-480D-AF11-A2D2EE072AA4}" state="hidden">
      <pageMargins left="0.7" right="0.7" top="0.75" bottom="0.75" header="0.3" footer="0.3"/>
    </customSheetView>
    <customSheetView guid="{DFE4709F-A2E7-47C8-B03E-7B313722AB9D}" state="hidden">
      <pageMargins left="0.7" right="0.7" top="0.75" bottom="0.75" header="0.3" footer="0.3"/>
    </customSheetView>
    <customSheetView guid="{1C80AB49-C1C9-4B47-A6C1-045128D1B411}" state="hidden">
      <pageMargins left="0.7" right="0.7" top="0.75" bottom="0.75" header="0.3" footer="0.3"/>
    </customSheetView>
    <customSheetView guid="{AC52F8A8-24C3-4F0E-A08C-EBB5B5B46AFE}" state="hidden">
      <pageMargins left="0.7" right="0.7" top="0.75" bottom="0.75" header="0.3" footer="0.3"/>
    </customSheetView>
    <customSheetView guid="{5E450AB8-D6B9-42D3-8450-6BE57DBC677A}" state="hidden">
      <pageMargins left="0.7" right="0.7" top="0.75" bottom="0.75" header="0.3" footer="0.3"/>
    </customSheetView>
    <customSheetView guid="{45DE89A6-9715-48B1-98AE-DF380FBDDCE7}" state="hidden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5DB4-4831-442B-8F65-2321EB7349A7}">
  <dimension ref="E5:F109"/>
  <sheetViews>
    <sheetView topLeftCell="A79" workbookViewId="0">
      <selection activeCell="B87" sqref="B87:U115"/>
    </sheetView>
  </sheetViews>
  <sheetFormatPr defaultColWidth="9.140625" defaultRowHeight="12.75" x14ac:dyDescent="0.2"/>
  <cols>
    <col min="2" max="2" width="28.140625" bestFit="1" customWidth="1"/>
    <col min="3" max="3" width="15.85546875" bestFit="1" customWidth="1"/>
    <col min="4" max="4" width="19.42578125" bestFit="1" customWidth="1"/>
    <col min="5" max="6" width="13.42578125" bestFit="1" customWidth="1"/>
  </cols>
  <sheetData>
    <row r="5" spans="5:6" x14ac:dyDescent="0.2">
      <c r="E5" s="23"/>
      <c r="F5" s="23"/>
    </row>
    <row r="6" spans="5:6" x14ac:dyDescent="0.2">
      <c r="E6" s="23"/>
      <c r="F6" s="23"/>
    </row>
    <row r="7" spans="5:6" x14ac:dyDescent="0.2">
      <c r="E7" s="23"/>
      <c r="F7" s="23"/>
    </row>
    <row r="8" spans="5:6" x14ac:dyDescent="0.2">
      <c r="E8" s="23"/>
      <c r="F8" s="23"/>
    </row>
    <row r="9" spans="5:6" x14ac:dyDescent="0.2">
      <c r="E9" s="23"/>
      <c r="F9" s="23"/>
    </row>
    <row r="10" spans="5:6" x14ac:dyDescent="0.2">
      <c r="E10" s="23"/>
      <c r="F10" s="23"/>
    </row>
    <row r="11" spans="5:6" x14ac:dyDescent="0.2">
      <c r="E11" s="23"/>
      <c r="F11" s="23"/>
    </row>
    <row r="12" spans="5:6" x14ac:dyDescent="0.2">
      <c r="E12" s="23"/>
      <c r="F12" s="23"/>
    </row>
    <row r="13" spans="5:6" x14ac:dyDescent="0.2">
      <c r="E13" s="23"/>
      <c r="F13" s="23"/>
    </row>
    <row r="14" spans="5:6" x14ac:dyDescent="0.2">
      <c r="E14" s="23"/>
      <c r="F14" s="23"/>
    </row>
    <row r="15" spans="5:6" x14ac:dyDescent="0.2">
      <c r="E15" s="23"/>
      <c r="F15" s="23"/>
    </row>
    <row r="16" spans="5:6" x14ac:dyDescent="0.2">
      <c r="E16" s="23"/>
      <c r="F16" s="23"/>
    </row>
    <row r="17" spans="5:6" x14ac:dyDescent="0.2">
      <c r="E17" s="23"/>
      <c r="F17" s="23"/>
    </row>
    <row r="18" spans="5:6" x14ac:dyDescent="0.2">
      <c r="E18" s="23"/>
      <c r="F18" s="23"/>
    </row>
    <row r="19" spans="5:6" x14ac:dyDescent="0.2">
      <c r="E19" s="23"/>
      <c r="F19" s="23"/>
    </row>
    <row r="20" spans="5:6" x14ac:dyDescent="0.2">
      <c r="E20" s="23"/>
      <c r="F20" s="23"/>
    </row>
    <row r="21" spans="5:6" x14ac:dyDescent="0.2">
      <c r="E21" s="23"/>
      <c r="F21" s="23"/>
    </row>
    <row r="22" spans="5:6" x14ac:dyDescent="0.2">
      <c r="E22" s="23"/>
      <c r="F22" s="23"/>
    </row>
    <row r="23" spans="5:6" x14ac:dyDescent="0.2">
      <c r="E23" s="23"/>
      <c r="F23" s="23"/>
    </row>
    <row r="24" spans="5:6" x14ac:dyDescent="0.2">
      <c r="E24" s="23"/>
      <c r="F24" s="23"/>
    </row>
    <row r="25" spans="5:6" x14ac:dyDescent="0.2">
      <c r="E25" s="23"/>
      <c r="F25" s="23"/>
    </row>
    <row r="26" spans="5:6" x14ac:dyDescent="0.2">
      <c r="E26" s="23"/>
      <c r="F26" s="23"/>
    </row>
    <row r="27" spans="5:6" x14ac:dyDescent="0.2">
      <c r="E27" s="23"/>
      <c r="F27" s="23"/>
    </row>
    <row r="28" spans="5:6" x14ac:dyDescent="0.2">
      <c r="E28" s="23"/>
      <c r="F28" s="23"/>
    </row>
    <row r="29" spans="5:6" x14ac:dyDescent="0.2">
      <c r="E29" s="23"/>
      <c r="F29" s="23"/>
    </row>
    <row r="30" spans="5:6" x14ac:dyDescent="0.2">
      <c r="E30" s="23"/>
      <c r="F30" s="23"/>
    </row>
    <row r="31" spans="5:6" x14ac:dyDescent="0.2">
      <c r="E31" s="23"/>
      <c r="F31" s="23"/>
    </row>
    <row r="32" spans="5:6" x14ac:dyDescent="0.2">
      <c r="E32" s="23"/>
      <c r="F32" s="23"/>
    </row>
    <row r="33" spans="5:6" x14ac:dyDescent="0.2">
      <c r="E33" s="23"/>
      <c r="F33" s="23"/>
    </row>
    <row r="34" spans="5:6" x14ac:dyDescent="0.2">
      <c r="E34" s="23"/>
      <c r="F34" s="23"/>
    </row>
    <row r="35" spans="5:6" x14ac:dyDescent="0.2">
      <c r="E35" s="23"/>
      <c r="F35" s="23"/>
    </row>
    <row r="36" spans="5:6" x14ac:dyDescent="0.2">
      <c r="E36" s="23"/>
      <c r="F36" s="23"/>
    </row>
    <row r="37" spans="5:6" x14ac:dyDescent="0.2">
      <c r="E37" s="23"/>
      <c r="F37" s="23"/>
    </row>
    <row r="38" spans="5:6" x14ac:dyDescent="0.2">
      <c r="E38" s="23"/>
      <c r="F38" s="23"/>
    </row>
    <row r="39" spans="5:6" x14ac:dyDescent="0.2">
      <c r="E39" s="23"/>
      <c r="F39" s="23"/>
    </row>
    <row r="40" spans="5:6" x14ac:dyDescent="0.2">
      <c r="E40" s="23"/>
      <c r="F40" s="23"/>
    </row>
    <row r="41" spans="5:6" x14ac:dyDescent="0.2">
      <c r="E41" s="23"/>
      <c r="F41" s="23"/>
    </row>
    <row r="42" spans="5:6" x14ac:dyDescent="0.2">
      <c r="E42" s="23"/>
      <c r="F42" s="23"/>
    </row>
    <row r="43" spans="5:6" x14ac:dyDescent="0.2">
      <c r="E43" s="23"/>
      <c r="F43" s="23"/>
    </row>
    <row r="44" spans="5:6" x14ac:dyDescent="0.2">
      <c r="E44" s="23"/>
      <c r="F44" s="23"/>
    </row>
    <row r="45" spans="5:6" x14ac:dyDescent="0.2">
      <c r="E45" s="23"/>
      <c r="F45" s="23"/>
    </row>
    <row r="46" spans="5:6" x14ac:dyDescent="0.2">
      <c r="E46" s="23"/>
      <c r="F46" s="23"/>
    </row>
    <row r="47" spans="5:6" x14ac:dyDescent="0.2">
      <c r="E47" s="23"/>
      <c r="F47" s="23"/>
    </row>
    <row r="48" spans="5:6" x14ac:dyDescent="0.2">
      <c r="E48" s="23"/>
      <c r="F48" s="23"/>
    </row>
    <row r="49" spans="5:6" x14ac:dyDescent="0.2">
      <c r="E49" s="23"/>
      <c r="F49" s="23"/>
    </row>
    <row r="50" spans="5:6" x14ac:dyDescent="0.2">
      <c r="E50" s="23"/>
      <c r="F50" s="23"/>
    </row>
    <row r="51" spans="5:6" x14ac:dyDescent="0.2">
      <c r="E51" s="23"/>
      <c r="F51" s="23"/>
    </row>
    <row r="52" spans="5:6" x14ac:dyDescent="0.2">
      <c r="E52" s="23"/>
      <c r="F52" s="23"/>
    </row>
    <row r="53" spans="5:6" x14ac:dyDescent="0.2">
      <c r="E53" s="23"/>
      <c r="F53" s="23"/>
    </row>
    <row r="54" spans="5:6" x14ac:dyDescent="0.2">
      <c r="E54" s="23"/>
      <c r="F54" s="23"/>
    </row>
    <row r="55" spans="5:6" x14ac:dyDescent="0.2">
      <c r="E55" s="23"/>
      <c r="F55" s="23"/>
    </row>
    <row r="56" spans="5:6" x14ac:dyDescent="0.2">
      <c r="E56" s="23"/>
      <c r="F56" s="23"/>
    </row>
    <row r="57" spans="5:6" x14ac:dyDescent="0.2">
      <c r="E57" s="23"/>
      <c r="F57" s="23"/>
    </row>
    <row r="58" spans="5:6" x14ac:dyDescent="0.2">
      <c r="E58" s="23"/>
      <c r="F58" s="23"/>
    </row>
    <row r="59" spans="5:6" x14ac:dyDescent="0.2">
      <c r="E59" s="23"/>
      <c r="F59" s="23"/>
    </row>
    <row r="60" spans="5:6" x14ac:dyDescent="0.2">
      <c r="E60" s="23"/>
      <c r="F60" s="23"/>
    </row>
    <row r="61" spans="5:6" x14ac:dyDescent="0.2">
      <c r="E61" s="23"/>
      <c r="F61" s="23"/>
    </row>
    <row r="62" spans="5:6" x14ac:dyDescent="0.2">
      <c r="E62" s="23"/>
      <c r="F62" s="23"/>
    </row>
    <row r="63" spans="5:6" x14ac:dyDescent="0.2">
      <c r="E63" s="23"/>
      <c r="F63" s="23"/>
    </row>
    <row r="64" spans="5:6" x14ac:dyDescent="0.2">
      <c r="E64" s="23"/>
      <c r="F64" s="23"/>
    </row>
    <row r="65" spans="5:6" x14ac:dyDescent="0.2">
      <c r="E65" s="23"/>
      <c r="F65" s="23"/>
    </row>
    <row r="66" spans="5:6" x14ac:dyDescent="0.2">
      <c r="E66" s="23"/>
      <c r="F66" s="23"/>
    </row>
    <row r="67" spans="5:6" x14ac:dyDescent="0.2">
      <c r="E67" s="23"/>
      <c r="F67" s="23"/>
    </row>
    <row r="68" spans="5:6" x14ac:dyDescent="0.2">
      <c r="E68" s="23"/>
      <c r="F68" s="23"/>
    </row>
    <row r="69" spans="5:6" x14ac:dyDescent="0.2">
      <c r="E69" s="23"/>
      <c r="F69" s="23"/>
    </row>
    <row r="70" spans="5:6" x14ac:dyDescent="0.2">
      <c r="E70" s="23"/>
      <c r="F70" s="23"/>
    </row>
    <row r="71" spans="5:6" x14ac:dyDescent="0.2">
      <c r="E71" s="23"/>
      <c r="F71" s="23"/>
    </row>
    <row r="72" spans="5:6" x14ac:dyDescent="0.2">
      <c r="E72" s="23"/>
      <c r="F72" s="23"/>
    </row>
    <row r="73" spans="5:6" x14ac:dyDescent="0.2">
      <c r="E73" s="23"/>
      <c r="F73" s="23"/>
    </row>
    <row r="74" spans="5:6" x14ac:dyDescent="0.2">
      <c r="E74" s="23"/>
      <c r="F74" s="23"/>
    </row>
    <row r="75" spans="5:6" x14ac:dyDescent="0.2">
      <c r="E75" s="23"/>
      <c r="F75" s="23"/>
    </row>
    <row r="76" spans="5:6" x14ac:dyDescent="0.2">
      <c r="E76" s="23"/>
      <c r="F76" s="23"/>
    </row>
    <row r="77" spans="5:6" x14ac:dyDescent="0.2">
      <c r="E77" s="23"/>
      <c r="F77" s="23"/>
    </row>
    <row r="78" spans="5:6" x14ac:dyDescent="0.2">
      <c r="E78" s="23"/>
      <c r="F78" s="23"/>
    </row>
    <row r="79" spans="5:6" x14ac:dyDescent="0.2">
      <c r="E79" s="23"/>
      <c r="F79" s="23"/>
    </row>
    <row r="80" spans="5:6" x14ac:dyDescent="0.2">
      <c r="E80" s="23"/>
      <c r="F80" s="23"/>
    </row>
    <row r="81" spans="5:6" x14ac:dyDescent="0.2">
      <c r="E81" s="23"/>
      <c r="F81" s="23"/>
    </row>
    <row r="82" spans="5:6" x14ac:dyDescent="0.2">
      <c r="E82" s="23"/>
      <c r="F82" s="23"/>
    </row>
    <row r="83" spans="5:6" x14ac:dyDescent="0.2">
      <c r="E83" s="23"/>
      <c r="F83" s="23"/>
    </row>
    <row r="84" spans="5:6" x14ac:dyDescent="0.2">
      <c r="E84" s="23"/>
      <c r="F84" s="23"/>
    </row>
    <row r="85" spans="5:6" x14ac:dyDescent="0.2">
      <c r="E85" s="23"/>
      <c r="F85" s="23"/>
    </row>
    <row r="86" spans="5:6" x14ac:dyDescent="0.2">
      <c r="E86" s="23"/>
      <c r="F86" s="23"/>
    </row>
    <row r="87" spans="5:6" x14ac:dyDescent="0.2">
      <c r="E87" s="23"/>
      <c r="F87" s="23"/>
    </row>
    <row r="88" spans="5:6" x14ac:dyDescent="0.2">
      <c r="E88" s="23"/>
      <c r="F88" s="23"/>
    </row>
    <row r="89" spans="5:6" x14ac:dyDescent="0.2">
      <c r="E89" s="23"/>
      <c r="F89" s="23"/>
    </row>
    <row r="90" spans="5:6" x14ac:dyDescent="0.2">
      <c r="E90" s="23"/>
      <c r="F90" s="23"/>
    </row>
    <row r="91" spans="5:6" x14ac:dyDescent="0.2">
      <c r="E91" s="23"/>
      <c r="F91" s="23"/>
    </row>
    <row r="92" spans="5:6" x14ac:dyDescent="0.2">
      <c r="E92" s="23"/>
      <c r="F92" s="23"/>
    </row>
    <row r="93" spans="5:6" x14ac:dyDescent="0.2">
      <c r="E93" s="23"/>
      <c r="F93" s="23"/>
    </row>
    <row r="94" spans="5:6" x14ac:dyDescent="0.2">
      <c r="E94" s="23"/>
      <c r="F94" s="23"/>
    </row>
    <row r="95" spans="5:6" x14ac:dyDescent="0.2">
      <c r="E95" s="23"/>
      <c r="F95" s="23"/>
    </row>
    <row r="96" spans="5:6" x14ac:dyDescent="0.2">
      <c r="E96" s="23"/>
      <c r="F96" s="23"/>
    </row>
    <row r="97" spans="5:6" x14ac:dyDescent="0.2">
      <c r="E97" s="23"/>
      <c r="F97" s="23"/>
    </row>
    <row r="98" spans="5:6" x14ac:dyDescent="0.2">
      <c r="E98" s="23"/>
      <c r="F98" s="23"/>
    </row>
    <row r="99" spans="5:6" x14ac:dyDescent="0.2">
      <c r="E99" s="23"/>
      <c r="F99" s="23"/>
    </row>
    <row r="100" spans="5:6" x14ac:dyDescent="0.2">
      <c r="E100" s="23"/>
      <c r="F100" s="23"/>
    </row>
    <row r="101" spans="5:6" x14ac:dyDescent="0.2">
      <c r="E101" s="23"/>
      <c r="F101" s="23"/>
    </row>
    <row r="102" spans="5:6" x14ac:dyDescent="0.2">
      <c r="E102" s="23"/>
      <c r="F102" s="23"/>
    </row>
    <row r="103" spans="5:6" x14ac:dyDescent="0.2">
      <c r="E103" s="23"/>
      <c r="F103" s="23"/>
    </row>
    <row r="104" spans="5:6" x14ac:dyDescent="0.2">
      <c r="E104" s="23"/>
      <c r="F104" s="23"/>
    </row>
    <row r="105" spans="5:6" x14ac:dyDescent="0.2">
      <c r="E105" s="23"/>
      <c r="F105" s="23"/>
    </row>
    <row r="106" spans="5:6" x14ac:dyDescent="0.2">
      <c r="E106" s="23"/>
      <c r="F106" s="23"/>
    </row>
    <row r="107" spans="5:6" x14ac:dyDescent="0.2">
      <c r="E107" s="23"/>
      <c r="F107" s="23"/>
    </row>
    <row r="108" spans="5:6" x14ac:dyDescent="0.2">
      <c r="E108" s="23"/>
      <c r="F108" s="23"/>
    </row>
    <row r="109" spans="5:6" x14ac:dyDescent="0.2">
      <c r="E109" s="23"/>
      <c r="F109" s="23"/>
    </row>
  </sheetData>
  <customSheetViews>
    <customSheetView guid="{FA56863A-4051-4578-AF28-08DCC59DE096}" state="hidden" topLeftCell="A79">
      <selection activeCell="B87" sqref="B87:U115"/>
      <pageMargins left="0.7" right="0.7" top="0.75" bottom="0.75" header="0.3" footer="0.3"/>
    </customSheetView>
    <customSheetView guid="{2DFC5A74-9126-4E47-8A33-7DDA70BEB139}">
      <selection activeCell="B87" sqref="B87:U115"/>
      <pageMargins left="0.7" right="0.7" top="0.75" bottom="0.75" header="0.3" footer="0.3"/>
    </customSheetView>
    <customSheetView guid="{24FDD27A-10A3-4ED6-AEBC-7457D56023F7}">
      <selection activeCell="B87" sqref="B87:U115"/>
      <pageMargins left="0.7" right="0.7" top="0.75" bottom="0.75" header="0.3" footer="0.3"/>
    </customSheetView>
    <customSheetView guid="{2C926DA5-F3E2-45B3-ABBA-768705894B24}">
      <selection activeCell="B87" sqref="B87:U115"/>
      <pageMargins left="0.7" right="0.7" top="0.75" bottom="0.75" header="0.3" footer="0.3"/>
    </customSheetView>
    <customSheetView guid="{90709DCE-1CDA-480D-AF11-A2D2EE072AA4}">
      <selection activeCell="B87" sqref="B87:U115"/>
      <pageMargins left="0.7" right="0.7" top="0.75" bottom="0.75" header="0.3" footer="0.3"/>
    </customSheetView>
    <customSheetView guid="{DFE4709F-A2E7-47C8-B03E-7B313722AB9D}">
      <selection activeCell="B87" sqref="B87:U115"/>
      <pageMargins left="0.7" right="0.7" top="0.75" bottom="0.75" header="0.3" footer="0.3"/>
    </customSheetView>
    <customSheetView guid="{1C80AB49-C1C9-4B47-A6C1-045128D1B411}" state="hidden" topLeftCell="A79">
      <selection activeCell="B87" sqref="B87:U115"/>
      <pageMargins left="0.7" right="0.7" top="0.75" bottom="0.75" header="0.3" footer="0.3"/>
    </customSheetView>
    <customSheetView guid="{AC52F8A8-24C3-4F0E-A08C-EBB5B5B46AFE}">
      <selection activeCell="B87" sqref="B87:U115"/>
      <pageMargins left="0.7" right="0.7" top="0.75" bottom="0.75" header="0.3" footer="0.3"/>
    </customSheetView>
    <customSheetView guid="{20AC43E0-7109-4AF7-AF1C-A0ACA56F53E6}" state="hidden">
      <pageMargins left="0.7" right="0.7" top="0.75" bottom="0.75" header="0.3" footer="0.3"/>
    </customSheetView>
    <customSheetView guid="{1883C7A0-64D7-455F-BC9A-3909DE3DB9F8}" state="hidden">
      <pageMargins left="0.7" right="0.7" top="0.75" bottom="0.75" header="0.3" footer="0.3"/>
    </customSheetView>
    <customSheetView guid="{A920C77D-7F54-488F-9D03-7F4525345E95}" state="hidden">
      <pageMargins left="0.7" right="0.7" top="0.75" bottom="0.75" header="0.3" footer="0.3"/>
    </customSheetView>
    <customSheetView guid="{0B509372-F65F-4662-A8C5-182E8739E56E}" state="hidden">
      <pageMargins left="0.7" right="0.7" top="0.75" bottom="0.75" header="0.3" footer="0.3"/>
    </customSheetView>
    <customSheetView guid="{A866C1B7-78F3-4067-89B2-330E0D53500A}">
      <pageMargins left="0.7" right="0.7" top="0.75" bottom="0.75" header="0.3" footer="0.3"/>
    </customSheetView>
    <customSheetView guid="{95E57E58-8356-446E-9D54-EE5EBFD6747E}" state="hidden">
      <pageMargins left="0.7" right="0.7" top="0.75" bottom="0.75" header="0.3" footer="0.3"/>
    </customSheetView>
    <customSheetView guid="{7FAF8668-8C90-4467-9A43-07B229AD4315}" state="hidden">
      <pageMargins left="0.7" right="0.7" top="0.75" bottom="0.75" header="0.3" footer="0.3"/>
    </customSheetView>
    <customSheetView guid="{0B00F9FE-457A-4763-9AC1-CFA1966B22A2}" state="hidden">
      <pageMargins left="0.7" right="0.7" top="0.75" bottom="0.75" header="0.3" footer="0.3"/>
    </customSheetView>
    <customSheetView guid="{40AD95B9-4950-4365-9849-FE31EFCBEC6E}" state="hidden">
      <pageMargins left="0.7" right="0.7" top="0.75" bottom="0.75" header="0.3" footer="0.3"/>
    </customSheetView>
    <customSheetView guid="{5E450AB8-D6B9-42D3-8450-6BE57DBC677A}" state="hidden" topLeftCell="A79">
      <selection activeCell="B87" sqref="B87:U115"/>
      <pageMargins left="0.7" right="0.7" top="0.75" bottom="0.75" header="0.3" footer="0.3"/>
    </customSheetView>
    <customSheetView guid="{45DE89A6-9715-48B1-98AE-DF380FBDDCE7}">
      <selection activeCell="B87" sqref="B87:U11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106:XFD107" count="2">
    <row newVal="105" oldVal="106"/>
    <row newVal="106" oldVal="105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Fecha</vt:lpstr>
      <vt:lpstr>Sheet1</vt:lpstr>
      <vt:lpstr>Sheet2</vt:lpstr>
      <vt:lpstr>Fecha!Print_Area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Criz Mervin Silvestre Sarmiento</dc:creator>
  <cp:lastModifiedBy>Adrián Félix Hernández Escoboza</cp:lastModifiedBy>
  <cp:lastPrinted>2026-04-26T23:34:16Z</cp:lastPrinted>
  <dcterms:created xsi:type="dcterms:W3CDTF">2005-03-25T04:24:13Z</dcterms:created>
  <dcterms:modified xsi:type="dcterms:W3CDTF">2026-05-26T23:29:21Z</dcterms:modified>
</cp:coreProperties>
</file>